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Excel_drills\Loan cal\loan-amortization-excel-model\data\"/>
    </mc:Choice>
  </mc:AlternateContent>
  <xr:revisionPtr revIDLastSave="0" documentId="13_ncr:1_{F3275051-06AF-46B0-81AC-B416A1818A59}" xr6:coauthVersionLast="47" xr6:coauthVersionMax="47" xr10:uidLastSave="{00000000-0000-0000-0000-000000000000}"/>
  <bookViews>
    <workbookView xWindow="-108" yWindow="-108" windowWidth="23256" windowHeight="12456" activeTab="2" xr2:uid="{BA08710B-1024-472D-9587-6028C8A3548E}"/>
  </bookViews>
  <sheets>
    <sheet name="INPUT" sheetId="1" r:id="rId1"/>
    <sheet name="CALCULATIONS" sheetId="2" r:id="rId2"/>
    <sheet name="DASHBOAR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41" i="3" l="1"/>
  <c r="Y42" i="3"/>
  <c r="Y43" i="3"/>
  <c r="Y40" i="3"/>
  <c r="X41" i="3"/>
  <c r="X42" i="3"/>
  <c r="X43" i="3"/>
  <c r="X40" i="3"/>
  <c r="W41" i="3"/>
  <c r="W42" i="3"/>
  <c r="W43" i="3"/>
  <c r="W40" i="3"/>
  <c r="W8" i="3"/>
  <c r="W9" i="3"/>
  <c r="W10" i="3"/>
  <c r="W11" i="3"/>
  <c r="E54" i="3"/>
  <c r="E53" i="3"/>
  <c r="H11" i="3"/>
  <c r="F68" i="2"/>
  <c r="H10" i="3"/>
  <c r="H9" i="3"/>
  <c r="E11" i="3"/>
  <c r="E10" i="3"/>
  <c r="E9" i="3"/>
  <c r="I2" i="2"/>
  <c r="I5" i="2"/>
  <c r="I4" i="2"/>
  <c r="I3" i="2"/>
  <c r="B4" i="2"/>
  <c r="D9" i="2"/>
  <c r="B9" i="2"/>
  <c r="B3" i="2"/>
  <c r="B2" i="2"/>
  <c r="C68" i="2" l="1"/>
  <c r="C67" i="2"/>
  <c r="C66" i="2"/>
  <c r="C65" i="2"/>
  <c r="C64" i="2"/>
  <c r="C63" i="2"/>
  <c r="C62" i="2"/>
  <c r="C61" i="2"/>
  <c r="C60" i="2"/>
  <c r="C59" i="2"/>
  <c r="C54" i="2"/>
  <c r="C55" i="2"/>
  <c r="C56" i="2"/>
  <c r="C57" i="2"/>
  <c r="C58" i="2"/>
  <c r="C53" i="2"/>
  <c r="C48" i="2"/>
  <c r="C49" i="2"/>
  <c r="C50" i="2"/>
  <c r="C51" i="2"/>
  <c r="C52" i="2"/>
  <c r="C43" i="2"/>
  <c r="C44" i="2"/>
  <c r="C45" i="2"/>
  <c r="C46" i="2"/>
  <c r="C47" i="2"/>
  <c r="C42" i="2"/>
  <c r="C41" i="2"/>
  <c r="C40" i="2"/>
  <c r="C39" i="2"/>
  <c r="C37" i="2"/>
  <c r="C38" i="2"/>
  <c r="C35" i="2"/>
  <c r="C36" i="2"/>
  <c r="C34" i="2"/>
  <c r="C33" i="2"/>
  <c r="C32" i="2"/>
  <c r="C31" i="2"/>
  <c r="C30" i="2"/>
  <c r="C29" i="2"/>
  <c r="C28" i="2"/>
  <c r="C27" i="2"/>
  <c r="C26" i="2"/>
  <c r="C25" i="2"/>
  <c r="C24" i="2"/>
  <c r="C23" i="2"/>
  <c r="C20" i="2"/>
  <c r="C21" i="2"/>
  <c r="C22" i="2"/>
  <c r="C19" i="2"/>
  <c r="C18" i="2"/>
  <c r="C17" i="2"/>
  <c r="C16" i="2"/>
  <c r="C15" i="2"/>
  <c r="C14" i="2"/>
  <c r="C13" i="2"/>
  <c r="C10" i="2"/>
  <c r="E10" i="2" s="1"/>
  <c r="C11" i="2"/>
  <c r="C12" i="2"/>
  <c r="C9" i="2"/>
  <c r="E9" i="2"/>
  <c r="F9" i="2"/>
  <c r="B10" i="2"/>
  <c r="D10" i="2"/>
  <c r="F10" i="2" l="1"/>
  <c r="B11" i="2" s="1"/>
  <c r="D11" i="2" l="1"/>
  <c r="E11" i="2" s="1"/>
  <c r="F11" i="2" s="1"/>
  <c r="B12" i="2" s="1"/>
  <c r="D12" i="2" l="1"/>
  <c r="E12" i="2" s="1"/>
  <c r="F12" i="2" s="1"/>
  <c r="B13" i="2" s="1"/>
  <c r="D13" i="2" l="1"/>
  <c r="E13" i="2" s="1"/>
  <c r="F13" i="2"/>
  <c r="B14" i="2" s="1"/>
  <c r="D14" i="2" l="1"/>
  <c r="E14" i="2" s="1"/>
  <c r="F14" i="2" s="1"/>
  <c r="B15" i="2" s="1"/>
  <c r="D15" i="2" l="1"/>
  <c r="E15" i="2" s="1"/>
  <c r="F15" i="2"/>
  <c r="B16" i="2" s="1"/>
  <c r="D16" i="2" l="1"/>
  <c r="E16" i="2" s="1"/>
  <c r="F16" i="2"/>
  <c r="B17" i="2" s="1"/>
  <c r="D17" i="2" l="1"/>
  <c r="E17" i="2" s="1"/>
  <c r="F17" i="2" s="1"/>
  <c r="B18" i="2" s="1"/>
  <c r="D18" i="2" l="1"/>
  <c r="E18" i="2" s="1"/>
  <c r="F18" i="2"/>
  <c r="B19" i="2" s="1"/>
  <c r="D19" i="2" l="1"/>
  <c r="E19" i="2" s="1"/>
  <c r="F19" i="2" s="1"/>
  <c r="B20" i="2" s="1"/>
  <c r="D20" i="2" l="1"/>
  <c r="E20" i="2" s="1"/>
  <c r="F20" i="2" s="1"/>
  <c r="B21" i="2" s="1"/>
  <c r="D21" i="2" l="1"/>
  <c r="E21" i="2" s="1"/>
  <c r="F21" i="2"/>
  <c r="B22" i="2" s="1"/>
  <c r="D22" i="2" l="1"/>
  <c r="E22" i="2" s="1"/>
  <c r="F22" i="2" s="1"/>
  <c r="B23" i="2" s="1"/>
  <c r="D23" i="2" l="1"/>
  <c r="E23" i="2" s="1"/>
  <c r="F23" i="2" s="1"/>
  <c r="B24" i="2" s="1"/>
  <c r="D24" i="2" l="1"/>
  <c r="E24" i="2" s="1"/>
  <c r="F24" i="2" s="1"/>
  <c r="B25" i="2" s="1"/>
  <c r="D25" i="2" l="1"/>
  <c r="E25" i="2" s="1"/>
  <c r="F25" i="2" s="1"/>
  <c r="B26" i="2" s="1"/>
  <c r="D26" i="2" l="1"/>
  <c r="E26" i="2" s="1"/>
  <c r="F26" i="2" s="1"/>
  <c r="B27" i="2" s="1"/>
  <c r="D27" i="2" l="1"/>
  <c r="E27" i="2" s="1"/>
  <c r="F27" i="2"/>
  <c r="B28" i="2" s="1"/>
  <c r="D28" i="2" l="1"/>
  <c r="E28" i="2" s="1"/>
  <c r="F28" i="2"/>
  <c r="B29" i="2" s="1"/>
  <c r="D29" i="2" l="1"/>
  <c r="E29" i="2" s="1"/>
  <c r="F29" i="2" s="1"/>
  <c r="B30" i="2" s="1"/>
  <c r="D30" i="2" l="1"/>
  <c r="E30" i="2" s="1"/>
  <c r="F30" i="2" s="1"/>
  <c r="B31" i="2" s="1"/>
  <c r="D31" i="2" l="1"/>
  <c r="E31" i="2" s="1"/>
  <c r="F31" i="2"/>
  <c r="B32" i="2" s="1"/>
  <c r="D32" i="2" l="1"/>
  <c r="E32" i="2" s="1"/>
  <c r="F32" i="2"/>
  <c r="B33" i="2" s="1"/>
  <c r="D33" i="2" l="1"/>
  <c r="E33" i="2" s="1"/>
  <c r="F33" i="2" s="1"/>
  <c r="B34" i="2" s="1"/>
  <c r="D34" i="2" l="1"/>
  <c r="E34" i="2" s="1"/>
  <c r="F34" i="2"/>
  <c r="B35" i="2" s="1"/>
  <c r="D35" i="2" l="1"/>
  <c r="E35" i="2" s="1"/>
  <c r="F35" i="2"/>
  <c r="B36" i="2" s="1"/>
  <c r="D36" i="2" l="1"/>
  <c r="E36" i="2" s="1"/>
  <c r="F36" i="2" s="1"/>
  <c r="B37" i="2" s="1"/>
  <c r="D37" i="2" l="1"/>
  <c r="E37" i="2" s="1"/>
  <c r="F37" i="2"/>
  <c r="B38" i="2" s="1"/>
  <c r="D38" i="2" l="1"/>
  <c r="E38" i="2" s="1"/>
  <c r="F38" i="2" s="1"/>
  <c r="B39" i="2" s="1"/>
  <c r="D39" i="2" l="1"/>
  <c r="E39" i="2" s="1"/>
  <c r="F39" i="2" s="1"/>
  <c r="B40" i="2" s="1"/>
  <c r="D40" i="2" l="1"/>
  <c r="E40" i="2" s="1"/>
  <c r="F40" i="2" s="1"/>
  <c r="B41" i="2" s="1"/>
  <c r="D41" i="2" l="1"/>
  <c r="E41" i="2" s="1"/>
  <c r="F41" i="2"/>
  <c r="B42" i="2" s="1"/>
  <c r="D42" i="2" l="1"/>
  <c r="E42" i="2" s="1"/>
  <c r="F42" i="2" s="1"/>
  <c r="B43" i="2" s="1"/>
  <c r="D43" i="2" l="1"/>
  <c r="E43" i="2" s="1"/>
  <c r="F43" i="2" s="1"/>
  <c r="B44" i="2" s="1"/>
  <c r="D44" i="2" l="1"/>
  <c r="E44" i="2" s="1"/>
  <c r="F44" i="2"/>
  <c r="B45" i="2" s="1"/>
  <c r="D45" i="2" l="1"/>
  <c r="E45" i="2" s="1"/>
  <c r="F45" i="2" s="1"/>
  <c r="B46" i="2" s="1"/>
  <c r="D46" i="2" l="1"/>
  <c r="E46" i="2" s="1"/>
  <c r="F46" i="2" s="1"/>
  <c r="B47" i="2" s="1"/>
  <c r="D47" i="2" l="1"/>
  <c r="E47" i="2" s="1"/>
  <c r="F47" i="2"/>
  <c r="B48" i="2" s="1"/>
  <c r="D48" i="2" l="1"/>
  <c r="E48" i="2" s="1"/>
  <c r="F48" i="2" s="1"/>
  <c r="B49" i="2" s="1"/>
  <c r="D49" i="2" l="1"/>
  <c r="E49" i="2" s="1"/>
  <c r="F49" i="2" s="1"/>
  <c r="B50" i="2" s="1"/>
  <c r="D50" i="2" l="1"/>
  <c r="E50" i="2" s="1"/>
  <c r="F50" i="2" s="1"/>
  <c r="B51" i="2" s="1"/>
  <c r="D51" i="2" l="1"/>
  <c r="E51" i="2" s="1"/>
  <c r="F51" i="2"/>
  <c r="B52" i="2" s="1"/>
  <c r="D52" i="2" l="1"/>
  <c r="E52" i="2" s="1"/>
  <c r="F52" i="2" s="1"/>
  <c r="B53" i="2" s="1"/>
  <c r="D53" i="2" l="1"/>
  <c r="E53" i="2" s="1"/>
  <c r="F53" i="2" s="1"/>
  <c r="B54" i="2" s="1"/>
  <c r="D54" i="2" l="1"/>
  <c r="E54" i="2" s="1"/>
  <c r="F54" i="2" s="1"/>
  <c r="B55" i="2" s="1"/>
  <c r="D55" i="2" l="1"/>
  <c r="E55" i="2" s="1"/>
  <c r="F55" i="2" s="1"/>
  <c r="B56" i="2" s="1"/>
  <c r="D56" i="2" l="1"/>
  <c r="E56" i="2" s="1"/>
  <c r="F56" i="2" s="1"/>
  <c r="B57" i="2" s="1"/>
  <c r="D57" i="2" l="1"/>
  <c r="E57" i="2" s="1"/>
  <c r="F57" i="2" s="1"/>
  <c r="B58" i="2" s="1"/>
  <c r="D58" i="2" l="1"/>
  <c r="E58" i="2" s="1"/>
  <c r="F58" i="2" s="1"/>
  <c r="B59" i="2" s="1"/>
  <c r="D59" i="2" l="1"/>
  <c r="E59" i="2" s="1"/>
  <c r="F59" i="2" s="1"/>
  <c r="B60" i="2" s="1"/>
  <c r="D60" i="2" l="1"/>
  <c r="E60" i="2" s="1"/>
  <c r="F60" i="2" s="1"/>
  <c r="B61" i="2" s="1"/>
  <c r="D61" i="2" l="1"/>
  <c r="E61" i="2" s="1"/>
  <c r="F61" i="2" s="1"/>
  <c r="B62" i="2" s="1"/>
  <c r="D62" i="2" l="1"/>
  <c r="E62" i="2" s="1"/>
  <c r="F62" i="2" s="1"/>
  <c r="B63" i="2" s="1"/>
  <c r="D63" i="2" l="1"/>
  <c r="E63" i="2" s="1"/>
  <c r="F63" i="2" s="1"/>
  <c r="B64" i="2" s="1"/>
  <c r="D64" i="2" l="1"/>
  <c r="E64" i="2" s="1"/>
  <c r="F64" i="2"/>
  <c r="B65" i="2" s="1"/>
  <c r="D65" i="2" l="1"/>
  <c r="E65" i="2" s="1"/>
  <c r="F65" i="2" s="1"/>
  <c r="B66" i="2" s="1"/>
  <c r="D66" i="2" l="1"/>
  <c r="E66" i="2" s="1"/>
  <c r="F66" i="2"/>
  <c r="B67" i="2" s="1"/>
  <c r="D67" i="2" l="1"/>
  <c r="E67" i="2" s="1"/>
  <c r="F67" i="2"/>
  <c r="B68" i="2" s="1"/>
  <c r="D68" i="2" l="1"/>
  <c r="E68" i="2" s="1"/>
</calcChain>
</file>

<file path=xl/sharedStrings.xml><?xml version="1.0" encoding="utf-8"?>
<sst xmlns="http://schemas.openxmlformats.org/spreadsheetml/2006/main" count="60" uniqueCount="47">
  <si>
    <t>Parameter</t>
  </si>
  <si>
    <t>Value</t>
  </si>
  <si>
    <t>Loan Amount</t>
  </si>
  <si>
    <t>Interest Rate (%)</t>
  </si>
  <si>
    <t>Loan Tenure (Years)</t>
  </si>
  <si>
    <t>Loan Type</t>
  </si>
  <si>
    <t>Personal</t>
  </si>
  <si>
    <t>Unit</t>
  </si>
  <si>
    <t>INR</t>
  </si>
  <si>
    <t>Annual</t>
  </si>
  <si>
    <t>Years</t>
  </si>
  <si>
    <t>Metric</t>
  </si>
  <si>
    <t>Formula</t>
  </si>
  <si>
    <t>Monthly Interest Rate</t>
  </si>
  <si>
    <t>Total Months</t>
  </si>
  <si>
    <t>EMI</t>
  </si>
  <si>
    <t>Month</t>
  </si>
  <si>
    <t>Opening Balance</t>
  </si>
  <si>
    <t>Interest</t>
  </si>
  <si>
    <t>Principal</t>
  </si>
  <si>
    <t>Closing Balance</t>
  </si>
  <si>
    <t>INPUT sheet  → raw inputs</t>
  </si>
  <si>
    <t>CALCULATIONS sheet → derived values</t>
  </si>
  <si>
    <t>Amortization table → uses derived values</t>
  </si>
  <si>
    <t>Monthly EMI</t>
  </si>
  <si>
    <t>Total Payments</t>
  </si>
  <si>
    <t>Total Interest Paid</t>
  </si>
  <si>
    <t>Total Cost of Loan</t>
  </si>
  <si>
    <t>Mathematical Logic</t>
  </si>
  <si>
    <t>EMI = P × r × (1+r)^n / ((1+r)^n − 1)</t>
  </si>
  <si>
    <t>Total Payments = EMI × Total Months</t>
  </si>
  <si>
    <t>Total Interest = Total Payments − Loan Amount</t>
  </si>
  <si>
    <t>Total Cost = Loan Amount + Total Interest</t>
  </si>
  <si>
    <t>P = Principal (Loan Amount)</t>
  </si>
  <si>
    <t>r = Monthly Interest Rate</t>
  </si>
  <si>
    <t>n = Total Number of Payments</t>
  </si>
  <si>
    <t>Interest_t = OpeningBalance_t × MonthlyRate</t>
  </si>
  <si>
    <t>Principal_t = EMI − Interest_t</t>
  </si>
  <si>
    <t>ClosingBalance_t = OpeningBalance_t − Principal_t</t>
  </si>
  <si>
    <t>LOAN CALCULATOR DASHBOARD</t>
  </si>
  <si>
    <t>Interest Rate</t>
  </si>
  <si>
    <t>Loan Tenure</t>
  </si>
  <si>
    <t>Total Interest</t>
  </si>
  <si>
    <t>Total Payment</t>
  </si>
  <si>
    <t>Loan Details</t>
  </si>
  <si>
    <t>Loan Summary</t>
  </si>
  <si>
    <t>Amortization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</si>
</sst>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8" formatCode="&quot;₹&quot;\ #,##0.00;[Red]&quot;₹&quot;\ \-#,##0.00"/>
    <numFmt numFmtId="169" formatCode="&quot;₹&quot;\ #,##0.00"/>
    <numFmt numFmtId="173" formatCode="&quot;₹&quot;\ #,##0"/>
  </numFmts>
  <fonts count="5" x14ac:knownFonts="1">
    <font>
      <sz val="11"/>
      <color theme="1"/>
      <name val="Calibri"/>
      <family val="2"/>
    </font>
    <font>
      <b/>
      <sz val="11"/>
      <color theme="1"/>
      <name val="Calibri"/>
      <family val="2"/>
    </font>
    <font>
      <b/>
      <sz val="28"/>
      <color theme="1"/>
      <name val="Calibri"/>
      <family val="2"/>
    </font>
    <font>
      <b/>
      <sz val="28"/>
      <color theme="1" tint="0.249977111117893"/>
      <name val="Calibri"/>
      <family val="2"/>
    </font>
    <font>
      <b/>
      <sz val="14"/>
      <color theme="1"/>
      <name val="Calibri"/>
      <family val="2"/>
    </font>
  </fonts>
  <fills count="3">
    <fill>
      <patternFill patternType="none"/>
    </fill>
    <fill>
      <patternFill patternType="gray125"/>
    </fill>
    <fill>
      <patternFill patternType="solid">
        <fgColor theme="7" tint="0.59999389629810485"/>
        <bgColor indexed="64"/>
      </patternFill>
    </fill>
  </fills>
  <borders count="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xf>
    <xf numFmtId="0" fontId="0" fillId="0" borderId="0" xfId="0" applyAlignment="1">
      <alignment horizontal="center" vertical="center"/>
    </xf>
    <xf numFmtId="9" fontId="0" fillId="0" borderId="0" xfId="0" applyNumberFormat="1" applyAlignment="1">
      <alignment horizontal="center" vertical="center" wrapText="1"/>
    </xf>
    <xf numFmtId="8" fontId="0" fillId="0" borderId="0" xfId="0" applyNumberFormat="1" applyAlignment="1">
      <alignment horizontal="center" vertical="center" wrapText="1"/>
    </xf>
    <xf numFmtId="0" fontId="1" fillId="2" borderId="0" xfId="0" applyFont="1" applyFill="1" applyAlignment="1">
      <alignment horizontal="center" vertical="center" wrapText="1"/>
    </xf>
    <xf numFmtId="8" fontId="0" fillId="0" borderId="0" xfId="0" applyNumberFormat="1"/>
    <xf numFmtId="6" fontId="1" fillId="0" borderId="0" xfId="0" applyNumberFormat="1" applyFont="1" applyAlignment="1">
      <alignment horizontal="center" vertical="center" wrapText="1"/>
    </xf>
    <xf numFmtId="6" fontId="0" fillId="0" borderId="0" xfId="0" applyNumberFormat="1"/>
    <xf numFmtId="1" fontId="1" fillId="0" borderId="0" xfId="0" applyNumberFormat="1" applyFont="1" applyAlignment="1">
      <alignment horizontal="center" vertical="center" wrapText="1"/>
    </xf>
    <xf numFmtId="1" fontId="0" fillId="0" borderId="0" xfId="0" applyNumberFormat="1" applyAlignment="1">
      <alignment horizontal="center" vertical="center"/>
    </xf>
    <xf numFmtId="0" fontId="1" fillId="0" borderId="0" xfId="0" applyFont="1" applyAlignment="1">
      <alignment horizontal="center" vertical="center"/>
    </xf>
    <xf numFmtId="6" fontId="0" fillId="0" borderId="0" xfId="0" applyNumberForma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Border="1"/>
    <xf numFmtId="9" fontId="0" fillId="0" borderId="0" xfId="0" applyNumberFormat="1" applyBorder="1"/>
    <xf numFmtId="0" fontId="0" fillId="0" borderId="1" xfId="0" applyBorder="1"/>
    <xf numFmtId="0" fontId="0" fillId="0" borderId="2" xfId="0" applyBorder="1"/>
    <xf numFmtId="9" fontId="0" fillId="0" borderId="3" xfId="0" applyNumberFormat="1" applyBorder="1"/>
    <xf numFmtId="0" fontId="0" fillId="0" borderId="4" xfId="0" applyBorder="1"/>
    <xf numFmtId="0" fontId="0" fillId="0" borderId="5" xfId="0" applyBorder="1"/>
    <xf numFmtId="169" fontId="0" fillId="0" borderId="0" xfId="0" applyNumberFormat="1" applyBorder="1"/>
    <xf numFmtId="1" fontId="0" fillId="0" borderId="0" xfId="0" applyNumberFormat="1" applyBorder="1"/>
    <xf numFmtId="0" fontId="1" fillId="0" borderId="6" xfId="0" applyFont="1" applyBorder="1"/>
    <xf numFmtId="0" fontId="1" fillId="0" borderId="7" xfId="0" applyFont="1" applyBorder="1"/>
    <xf numFmtId="0" fontId="1" fillId="0" borderId="8" xfId="0" applyFont="1" applyBorder="1"/>
    <xf numFmtId="0" fontId="0" fillId="0" borderId="3" xfId="0" applyBorder="1"/>
    <xf numFmtId="8" fontId="0" fillId="0" borderId="3" xfId="0" applyNumberFormat="1" applyBorder="1"/>
    <xf numFmtId="6" fontId="0" fillId="0" borderId="3" xfId="0" applyNumberFormat="1" applyBorder="1"/>
    <xf numFmtId="8" fontId="0" fillId="0" borderId="5" xfId="0" applyNumberFormat="1" applyBorder="1"/>
    <xf numFmtId="0" fontId="4" fillId="0" borderId="0" xfId="0" applyFont="1"/>
    <xf numFmtId="173" fontId="0" fillId="0" borderId="3" xfId="0" applyNumberFormat="1" applyBorder="1"/>
    <xf numFmtId="9"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Loan Balance Over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116409150289218"/>
          <c:y val="0.15043913566130962"/>
          <c:w val="0.81620706234705975"/>
          <c:h val="0.62190909995625465"/>
        </c:manualLayout>
      </c:layout>
      <c:lineChart>
        <c:grouping val="standard"/>
        <c:varyColors val="0"/>
        <c:ser>
          <c:idx val="0"/>
          <c:order val="0"/>
          <c:tx>
            <c:v>Closing Balance</c:v>
          </c:tx>
          <c:spPr>
            <a:ln w="28575" cap="rnd">
              <a:solidFill>
                <a:schemeClr val="accent6"/>
              </a:solidFill>
              <a:round/>
            </a:ln>
            <a:effectLst/>
          </c:spPr>
          <c:marker>
            <c:symbol val="none"/>
          </c:marker>
          <c:val>
            <c:numRef>
              <c:f>CALCULATIONS!$F$9:$F$68</c:f>
              <c:numCache>
                <c:formatCode>"₹"#,##0_);[Red]\("₹"#,##0\)</c:formatCode>
                <c:ptCount val="60"/>
                <c:pt idx="0">
                  <c:v>493543.14431103255</c:v>
                </c:pt>
                <c:pt idx="1">
                  <c:v>487032.48149132368</c:v>
                </c:pt>
                <c:pt idx="2">
                  <c:v>480467.56314811722</c:v>
                </c:pt>
                <c:pt idx="3">
                  <c:v>473847.93715205073</c:v>
                </c:pt>
                <c:pt idx="4">
                  <c:v>467173.14760601701</c:v>
                </c:pt>
                <c:pt idx="5">
                  <c:v>460442.73481376632</c:v>
                </c:pt>
                <c:pt idx="6">
                  <c:v>453656.23524824693</c:v>
                </c:pt>
                <c:pt idx="7">
                  <c:v>446813.18151968153</c:v>
                </c:pt>
                <c:pt idx="8">
                  <c:v>439913.10234337806</c:v>
                </c:pt>
                <c:pt idx="9">
                  <c:v>432955.52250727208</c:v>
                </c:pt>
                <c:pt idx="10">
                  <c:v>425939.96283919853</c:v>
                </c:pt>
                <c:pt idx="11">
                  <c:v>418865.94017389102</c:v>
                </c:pt>
                <c:pt idx="12">
                  <c:v>411732.96731970599</c:v>
                </c:pt>
                <c:pt idx="13">
                  <c:v>404540.55302506941</c:v>
                </c:pt>
                <c:pt idx="14">
                  <c:v>397288.20194464421</c:v>
                </c:pt>
                <c:pt idx="15">
                  <c:v>389975.41460521542</c:v>
                </c:pt>
                <c:pt idx="16">
                  <c:v>382601.68737129139</c:v>
                </c:pt>
                <c:pt idx="17">
                  <c:v>375166.51241041801</c:v>
                </c:pt>
                <c:pt idx="18">
                  <c:v>367669.377658204</c:v>
                </c:pt>
                <c:pt idx="19">
                  <c:v>360109.76678305492</c:v>
                </c:pt>
                <c:pt idx="20">
                  <c:v>352487.15915061289</c:v>
                </c:pt>
                <c:pt idx="21">
                  <c:v>344801.02978790051</c:v>
                </c:pt>
                <c:pt idx="22">
                  <c:v>337050.84934716555</c:v>
                </c:pt>
                <c:pt idx="23">
                  <c:v>329236.08406942448</c:v>
                </c:pt>
                <c:pt idx="24">
                  <c:v>321356.19574770221</c:v>
                </c:pt>
                <c:pt idx="25">
                  <c:v>313410.64168996556</c:v>
                </c:pt>
                <c:pt idx="26">
                  <c:v>305398.87468174781</c:v>
                </c:pt>
                <c:pt idx="27">
                  <c:v>297320.34294846159</c:v>
                </c:pt>
                <c:pt idx="28">
                  <c:v>289174.49011739797</c:v>
                </c:pt>
                <c:pt idx="29">
                  <c:v>280960.75517940882</c:v>
                </c:pt>
                <c:pt idx="30">
                  <c:v>272678.57245026977</c:v>
                </c:pt>
                <c:pt idx="31">
                  <c:v>264327.3715317212</c:v>
                </c:pt>
                <c:pt idx="32">
                  <c:v>255906.57727218475</c:v>
                </c:pt>
                <c:pt idx="33">
                  <c:v>247415.60972715216</c:v>
                </c:pt>
                <c:pt idx="34">
                  <c:v>238853.88411924429</c:v>
                </c:pt>
                <c:pt idx="35">
                  <c:v>230220.81079793719</c:v>
                </c:pt>
                <c:pt idx="36">
                  <c:v>221515.79519895252</c:v>
                </c:pt>
                <c:pt idx="37">
                  <c:v>212738.23780330966</c:v>
                </c:pt>
                <c:pt idx="38">
                  <c:v>203887.53409603643</c:v>
                </c:pt>
                <c:pt idx="39">
                  <c:v>194963.07452453591</c:v>
                </c:pt>
                <c:pt idx="40">
                  <c:v>185964.24445660625</c:v>
                </c:pt>
                <c:pt idx="41">
                  <c:v>176890.42413811048</c:v>
                </c:pt>
                <c:pt idx="42">
                  <c:v>167740.98865029393</c:v>
                </c:pt>
                <c:pt idx="43">
                  <c:v>158515.30786674557</c:v>
                </c:pt>
                <c:pt idx="44">
                  <c:v>149212.74641000098</c:v>
                </c:pt>
                <c:pt idx="45">
                  <c:v>139832.66360778353</c:v>
                </c:pt>
                <c:pt idx="46">
                  <c:v>130374.41344888092</c:v>
                </c:pt>
                <c:pt idx="47">
                  <c:v>120837.34453865413</c:v>
                </c:pt>
                <c:pt idx="48">
                  <c:v>111220.80005417544</c:v>
                </c:pt>
                <c:pt idx="49">
                  <c:v>101524.11769899276</c:v>
                </c:pt>
                <c:pt idx="50">
                  <c:v>91746.629657516896</c:v>
                </c:pt>
                <c:pt idx="51">
                  <c:v>81887.662549028726</c:v>
                </c:pt>
                <c:pt idx="52">
                  <c:v>71946.537381303162</c:v>
                </c:pt>
                <c:pt idx="53">
                  <c:v>61922.569503846549</c:v>
                </c:pt>
                <c:pt idx="54">
                  <c:v>51815.068560744461</c:v>
                </c:pt>
                <c:pt idx="55">
                  <c:v>41623.338443116525</c:v>
                </c:pt>
                <c:pt idx="56">
                  <c:v>31346.677241175024</c:v>
                </c:pt>
                <c:pt idx="57">
                  <c:v>20984.377195884012</c:v>
                </c:pt>
                <c:pt idx="58">
                  <c:v>10535.724650215572</c:v>
                </c:pt>
                <c:pt idx="59">
                  <c:v>0</c:v>
                </c:pt>
              </c:numCache>
            </c:numRef>
          </c:val>
          <c:smooth val="0"/>
          <c:extLst>
            <c:ext xmlns:c16="http://schemas.microsoft.com/office/drawing/2014/chart" uri="{C3380CC4-5D6E-409C-BE32-E72D297353CC}">
              <c16:uniqueId val="{00000000-4639-4A13-B09F-53F23BF25B11}"/>
            </c:ext>
          </c:extLst>
        </c:ser>
        <c:dLbls>
          <c:showLegendKey val="0"/>
          <c:showVal val="0"/>
          <c:showCatName val="0"/>
          <c:showSerName val="0"/>
          <c:showPercent val="0"/>
          <c:showBubbleSize val="0"/>
        </c:dLbls>
        <c:smooth val="0"/>
        <c:axId val="97786255"/>
        <c:axId val="97782895"/>
      </c:lineChart>
      <c:catAx>
        <c:axId val="977862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82895"/>
        <c:crosses val="autoZero"/>
        <c:auto val="1"/>
        <c:lblAlgn val="ctr"/>
        <c:lblOffset val="100"/>
        <c:noMultiLvlLbl val="0"/>
      </c:catAx>
      <c:valAx>
        <c:axId val="97782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86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Interest vs Principal Over Time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56840898462312"/>
          <c:y val="0.14463166307156275"/>
          <c:w val="0.83621533570187134"/>
          <c:h val="0.61806616558210847"/>
        </c:manualLayout>
      </c:layout>
      <c:lineChart>
        <c:grouping val="standard"/>
        <c:varyColors val="0"/>
        <c:ser>
          <c:idx val="0"/>
          <c:order val="0"/>
          <c:tx>
            <c:v>Interest</c:v>
          </c:tx>
          <c:spPr>
            <a:ln w="28575" cap="rnd">
              <a:solidFill>
                <a:schemeClr val="accent1"/>
              </a:solidFill>
              <a:round/>
            </a:ln>
            <a:effectLst/>
          </c:spPr>
          <c:marker>
            <c:symbol val="none"/>
          </c:marker>
          <c:cat>
            <c:numRef>
              <c:f>CALCULATIONS!$A$9:$A$68</c:f>
              <c:numCache>
                <c:formatCode>0</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CALCULATIONS!$D$9:$D$68</c:f>
              <c:numCache>
                <c:formatCode>"₹"#,##0_);[Red]\("₹"#,##0\)</c:formatCode>
                <c:ptCount val="60"/>
                <c:pt idx="0">
                  <c:v>4166.666666666667</c:v>
                </c:pt>
                <c:pt idx="1">
                  <c:v>4112.8595359252713</c:v>
                </c:pt>
                <c:pt idx="2">
                  <c:v>4058.6040124276974</c:v>
                </c:pt>
                <c:pt idx="3">
                  <c:v>4003.8963595676432</c:v>
                </c:pt>
                <c:pt idx="4">
                  <c:v>3948.7328096004226</c:v>
                </c:pt>
                <c:pt idx="5">
                  <c:v>3893.1095633834752</c:v>
                </c:pt>
                <c:pt idx="6">
                  <c:v>3837.0227901147191</c:v>
                </c:pt>
                <c:pt idx="7">
                  <c:v>3780.4686270687243</c:v>
                </c:pt>
                <c:pt idx="8">
                  <c:v>3723.4431793306794</c:v>
                </c:pt>
                <c:pt idx="9">
                  <c:v>3665.9425195281506</c:v>
                </c:pt>
                <c:pt idx="10">
                  <c:v>3607.9626875606004</c:v>
                </c:pt>
                <c:pt idx="11">
                  <c:v>3549.4996903266542</c:v>
                </c:pt>
                <c:pt idx="12">
                  <c:v>3490.5495014490916</c:v>
                </c:pt>
                <c:pt idx="13">
                  <c:v>3431.1080609975497</c:v>
                </c:pt>
                <c:pt idx="14">
                  <c:v>3371.1712752089115</c:v>
                </c:pt>
                <c:pt idx="15">
                  <c:v>3310.7350162053685</c:v>
                </c:pt>
                <c:pt idx="16">
                  <c:v>3249.7951217101286</c:v>
                </c:pt>
                <c:pt idx="17">
                  <c:v>3188.3473947607617</c:v>
                </c:pt>
                <c:pt idx="18">
                  <c:v>3126.3876034201503</c:v>
                </c:pt>
                <c:pt idx="19">
                  <c:v>3063.9114804850333</c:v>
                </c:pt>
                <c:pt idx="20">
                  <c:v>3000.9147231921243</c:v>
                </c:pt>
                <c:pt idx="21">
                  <c:v>2937.3929929217738</c:v>
                </c:pt>
                <c:pt idx="22">
                  <c:v>2873.3419148991707</c:v>
                </c:pt>
                <c:pt idx="23">
                  <c:v>2808.7570778930462</c:v>
                </c:pt>
                <c:pt idx="24">
                  <c:v>2743.6340339118706</c:v>
                </c:pt>
                <c:pt idx="25">
                  <c:v>2677.9682978975184</c:v>
                </c:pt>
                <c:pt idx="26">
                  <c:v>2611.7553474163797</c:v>
                </c:pt>
                <c:pt idx="27">
                  <c:v>2544.9906223478984</c:v>
                </c:pt>
                <c:pt idx="28">
                  <c:v>2477.6695245705132</c:v>
                </c:pt>
                <c:pt idx="29">
                  <c:v>2409.7874176449832</c:v>
                </c:pt>
                <c:pt idx="30">
                  <c:v>2341.3396264950734</c:v>
                </c:pt>
                <c:pt idx="31">
                  <c:v>2272.3214370855812</c:v>
                </c:pt>
                <c:pt idx="32">
                  <c:v>2202.7280960976768</c:v>
                </c:pt>
                <c:pt idx="33">
                  <c:v>2132.5548106015394</c:v>
                </c:pt>
                <c:pt idx="34">
                  <c:v>2061.7967477262678</c:v>
                </c:pt>
                <c:pt idx="35">
                  <c:v>1990.4490343270356</c:v>
                </c:pt>
                <c:pt idx="36">
                  <c:v>1918.5067566494765</c:v>
                </c:pt>
                <c:pt idx="37">
                  <c:v>1845.9649599912709</c:v>
                </c:pt>
                <c:pt idx="38">
                  <c:v>1772.8186483609138</c:v>
                </c:pt>
                <c:pt idx="39">
                  <c:v>1699.0627841336368</c:v>
                </c:pt>
                <c:pt idx="40">
                  <c:v>1624.692287704466</c:v>
                </c:pt>
                <c:pt idx="41">
                  <c:v>1549.7020371383853</c:v>
                </c:pt>
                <c:pt idx="42">
                  <c:v>1474.0868678175873</c:v>
                </c:pt>
                <c:pt idx="43">
                  <c:v>1397.8415720857827</c:v>
                </c:pt>
                <c:pt idx="44">
                  <c:v>1320.9608988895463</c:v>
                </c:pt>
                <c:pt idx="45">
                  <c:v>1243.4395534166749</c:v>
                </c:pt>
                <c:pt idx="46">
                  <c:v>1165.2721967315294</c:v>
                </c:pt>
                <c:pt idx="47">
                  <c:v>1086.453445407341</c:v>
                </c:pt>
                <c:pt idx="48">
                  <c:v>1006.977871155451</c:v>
                </c:pt>
                <c:pt idx="49">
                  <c:v>926.84000045146206</c:v>
                </c:pt>
                <c:pt idx="50">
                  <c:v>846.03431415827299</c:v>
                </c:pt>
                <c:pt idx="51">
                  <c:v>764.55524714597414</c:v>
                </c:pt>
                <c:pt idx="52">
                  <c:v>682.39718790857273</c:v>
                </c:pt>
                <c:pt idx="53">
                  <c:v>599.55447817752633</c:v>
                </c:pt>
                <c:pt idx="54">
                  <c:v>516.02141253205457</c:v>
                </c:pt>
                <c:pt idx="55">
                  <c:v>431.79223800620383</c:v>
                </c:pt>
                <c:pt idx="56">
                  <c:v>346.86115369263769</c:v>
                </c:pt>
                <c:pt idx="57">
                  <c:v>261.22231034312517</c:v>
                </c:pt>
                <c:pt idx="58">
                  <c:v>174.86980996570009</c:v>
                </c:pt>
                <c:pt idx="59">
                  <c:v>87.797705418463096</c:v>
                </c:pt>
              </c:numCache>
            </c:numRef>
          </c:val>
          <c:smooth val="0"/>
          <c:extLst>
            <c:ext xmlns:c16="http://schemas.microsoft.com/office/drawing/2014/chart" uri="{C3380CC4-5D6E-409C-BE32-E72D297353CC}">
              <c16:uniqueId val="{00000000-60EE-4BB8-923C-207AC91067E1}"/>
            </c:ext>
          </c:extLst>
        </c:ser>
        <c:ser>
          <c:idx val="1"/>
          <c:order val="1"/>
          <c:tx>
            <c:v>Principal</c:v>
          </c:tx>
          <c:spPr>
            <a:ln w="28575" cap="rnd">
              <a:solidFill>
                <a:schemeClr val="accent2"/>
              </a:solidFill>
              <a:round/>
            </a:ln>
            <a:effectLst/>
          </c:spPr>
          <c:marker>
            <c:symbol val="none"/>
          </c:marker>
          <c:cat>
            <c:numRef>
              <c:f>CALCULATIONS!$A$9:$A$68</c:f>
              <c:numCache>
                <c:formatCode>0</c:formatCod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numCache>
            </c:numRef>
          </c:cat>
          <c:val>
            <c:numRef>
              <c:f>CALCULATIONS!$E$9:$E$68</c:f>
              <c:numCache>
                <c:formatCode>"₹"#,##0_);[Red]\("₹"#,##0\)</c:formatCode>
                <c:ptCount val="60"/>
                <c:pt idx="0">
                  <c:v>6456.8556889674719</c:v>
                </c:pt>
                <c:pt idx="1">
                  <c:v>6510.6628197088676</c:v>
                </c:pt>
                <c:pt idx="2">
                  <c:v>6564.9183432064419</c:v>
                </c:pt>
                <c:pt idx="3">
                  <c:v>6619.6259960664956</c:v>
                </c:pt>
                <c:pt idx="4">
                  <c:v>6674.7895460337168</c:v>
                </c:pt>
                <c:pt idx="5">
                  <c:v>6730.4127922506632</c:v>
                </c:pt>
                <c:pt idx="6">
                  <c:v>6786.4995655194198</c:v>
                </c:pt>
                <c:pt idx="7">
                  <c:v>6843.0537285654145</c:v>
                </c:pt>
                <c:pt idx="8">
                  <c:v>6900.0791763034595</c:v>
                </c:pt>
                <c:pt idx="9">
                  <c:v>6957.5798361059879</c:v>
                </c:pt>
                <c:pt idx="10">
                  <c:v>7015.559668073538</c:v>
                </c:pt>
                <c:pt idx="11">
                  <c:v>7074.0226653074842</c:v>
                </c:pt>
                <c:pt idx="12">
                  <c:v>7132.9728541850473</c:v>
                </c:pt>
                <c:pt idx="13">
                  <c:v>7192.4142946365891</c:v>
                </c:pt>
                <c:pt idx="14">
                  <c:v>7252.3510804252273</c:v>
                </c:pt>
                <c:pt idx="15">
                  <c:v>7312.7873394287708</c:v>
                </c:pt>
                <c:pt idx="16">
                  <c:v>7373.7272339240099</c:v>
                </c:pt>
                <c:pt idx="17">
                  <c:v>7435.1749608733771</c:v>
                </c:pt>
                <c:pt idx="18">
                  <c:v>7497.1347522139886</c:v>
                </c:pt>
                <c:pt idx="19">
                  <c:v>7559.6108751491056</c:v>
                </c:pt>
                <c:pt idx="20">
                  <c:v>7622.6076324420146</c:v>
                </c:pt>
                <c:pt idx="21">
                  <c:v>7686.129362712365</c:v>
                </c:pt>
                <c:pt idx="22">
                  <c:v>7750.1804407349682</c:v>
                </c:pt>
                <c:pt idx="23">
                  <c:v>7814.7652777410931</c:v>
                </c:pt>
                <c:pt idx="24">
                  <c:v>7879.8883217222683</c:v>
                </c:pt>
                <c:pt idx="25">
                  <c:v>7945.554057736621</c:v>
                </c:pt>
                <c:pt idx="26">
                  <c:v>8011.7670082177592</c:v>
                </c:pt>
                <c:pt idx="27">
                  <c:v>8078.5317332862405</c:v>
                </c:pt>
                <c:pt idx="28">
                  <c:v>8145.8528310636257</c:v>
                </c:pt>
                <c:pt idx="29">
                  <c:v>8213.7349379891566</c:v>
                </c:pt>
                <c:pt idx="30">
                  <c:v>8282.1827291390655</c:v>
                </c:pt>
                <c:pt idx="31">
                  <c:v>8351.2009185485585</c:v>
                </c:pt>
                <c:pt idx="32">
                  <c:v>8420.7942595364621</c:v>
                </c:pt>
                <c:pt idx="33">
                  <c:v>8490.9675450325994</c:v>
                </c:pt>
                <c:pt idx="34">
                  <c:v>8561.7256079078707</c:v>
                </c:pt>
                <c:pt idx="35">
                  <c:v>8633.0733213071035</c:v>
                </c:pt>
                <c:pt idx="36">
                  <c:v>8705.0155989846626</c:v>
                </c:pt>
                <c:pt idx="37">
                  <c:v>8777.557395642867</c:v>
                </c:pt>
                <c:pt idx="38">
                  <c:v>8850.7037072732255</c:v>
                </c:pt>
                <c:pt idx="39">
                  <c:v>8924.4595715005016</c:v>
                </c:pt>
                <c:pt idx="40">
                  <c:v>8998.8300679296735</c:v>
                </c:pt>
                <c:pt idx="41">
                  <c:v>9073.8203184957529</c:v>
                </c:pt>
                <c:pt idx="42">
                  <c:v>9149.4354878165523</c:v>
                </c:pt>
                <c:pt idx="43">
                  <c:v>9225.680783548356</c:v>
                </c:pt>
                <c:pt idx="44">
                  <c:v>9302.5614567445919</c:v>
                </c:pt>
                <c:pt idx="45">
                  <c:v>9380.0828022174646</c:v>
                </c:pt>
                <c:pt idx="46">
                  <c:v>9458.2501589026087</c:v>
                </c:pt>
                <c:pt idx="47">
                  <c:v>9537.068910226797</c:v>
                </c:pt>
                <c:pt idx="48">
                  <c:v>9616.5444844786871</c:v>
                </c:pt>
                <c:pt idx="49">
                  <c:v>9696.6823551826765</c:v>
                </c:pt>
                <c:pt idx="50">
                  <c:v>9777.4880414758663</c:v>
                </c:pt>
                <c:pt idx="51">
                  <c:v>9858.9671084881647</c:v>
                </c:pt>
                <c:pt idx="52">
                  <c:v>9941.1251677255659</c:v>
                </c:pt>
                <c:pt idx="53">
                  <c:v>10023.967877456613</c:v>
                </c:pt>
                <c:pt idx="54">
                  <c:v>10107.500943102084</c:v>
                </c:pt>
                <c:pt idx="55">
                  <c:v>10191.730117627934</c:v>
                </c:pt>
                <c:pt idx="56">
                  <c:v>10276.661201941501</c:v>
                </c:pt>
                <c:pt idx="57">
                  <c:v>10362.300045291013</c:v>
                </c:pt>
                <c:pt idx="58">
                  <c:v>10448.652545668439</c:v>
                </c:pt>
                <c:pt idx="59">
                  <c:v>10535.724650215676</c:v>
                </c:pt>
              </c:numCache>
            </c:numRef>
          </c:val>
          <c:smooth val="0"/>
          <c:extLst>
            <c:ext xmlns:c16="http://schemas.microsoft.com/office/drawing/2014/chart" uri="{C3380CC4-5D6E-409C-BE32-E72D297353CC}">
              <c16:uniqueId val="{00000001-60EE-4BB8-923C-207AC91067E1}"/>
            </c:ext>
          </c:extLst>
        </c:ser>
        <c:dLbls>
          <c:showLegendKey val="0"/>
          <c:showVal val="0"/>
          <c:showCatName val="0"/>
          <c:showSerName val="0"/>
          <c:showPercent val="0"/>
          <c:showBubbleSize val="0"/>
        </c:dLbls>
        <c:smooth val="0"/>
        <c:axId val="269584879"/>
        <c:axId val="269585359"/>
      </c:lineChart>
      <c:catAx>
        <c:axId val="269584879"/>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5359"/>
        <c:crosses val="autoZero"/>
        <c:auto val="1"/>
        <c:lblAlgn val="ctr"/>
        <c:lblOffset val="100"/>
        <c:noMultiLvlLbl val="0"/>
      </c:catAx>
      <c:valAx>
        <c:axId val="2695853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4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Loan Cost Breakdown</a:t>
            </a:r>
            <a:endParaRPr lang="en-IN"/>
          </a:p>
        </c:rich>
      </c:tx>
      <c:layout>
        <c:manualLayout>
          <c:xMode val="edge"/>
          <c:yMode val="edge"/>
          <c:x val="0.29438617429875907"/>
          <c:y val="3.15888338993620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20-44FC-A293-5725E3457A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20-44FC-A293-5725E3457AF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DASHBOARD!$D$53:$D$54</c:f>
              <c:strCache>
                <c:ptCount val="2"/>
                <c:pt idx="0">
                  <c:v>Principal</c:v>
                </c:pt>
                <c:pt idx="1">
                  <c:v>Interest</c:v>
                </c:pt>
              </c:strCache>
            </c:strRef>
          </c:cat>
          <c:val>
            <c:numRef>
              <c:f>DASHBOARD!$E$53:$E$54</c:f>
              <c:numCache>
                <c:formatCode>"₹"#,##0_);[Red]\("₹"#,##0\)</c:formatCode>
                <c:ptCount val="2"/>
                <c:pt idx="0" formatCode="General">
                  <c:v>500000</c:v>
                </c:pt>
                <c:pt idx="1">
                  <c:v>137411.34133804819</c:v>
                </c:pt>
              </c:numCache>
            </c:numRef>
          </c:val>
          <c:extLst>
            <c:ext xmlns:c16="http://schemas.microsoft.com/office/drawing/2014/chart" uri="{C3380CC4-5D6E-409C-BE32-E72D297353CC}">
              <c16:uniqueId val="{00000004-AF20-44FC-A293-5725E3457AF7}"/>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lumMod val="95000"/>
                    <a:lumOff val="5000"/>
                  </a:schemeClr>
                </a:solidFill>
              </a:rPr>
              <a:t>Interest Rate Sensitivity (EMI Impact)</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DASHBOARD!$W$7</c:f>
              <c:strCache>
                <c:ptCount val="1"/>
                <c:pt idx="0">
                  <c:v>EMI</c:v>
                </c:pt>
              </c:strCache>
            </c:strRef>
          </c:tx>
          <c:spPr>
            <a:ln w="28575" cap="rnd">
              <a:solidFill>
                <a:schemeClr val="accent1"/>
              </a:solidFill>
              <a:round/>
            </a:ln>
            <a:effectLst/>
          </c:spPr>
          <c:marker>
            <c:symbol val="none"/>
          </c:marker>
          <c:cat>
            <c:numRef>
              <c:f>DASHBOARD!$V$8:$V$11</c:f>
              <c:numCache>
                <c:formatCode>0%</c:formatCode>
                <c:ptCount val="4"/>
                <c:pt idx="0">
                  <c:v>0.08</c:v>
                </c:pt>
                <c:pt idx="1">
                  <c:v>0.1</c:v>
                </c:pt>
                <c:pt idx="2">
                  <c:v>0.12</c:v>
                </c:pt>
                <c:pt idx="3">
                  <c:v>0.14000000000000001</c:v>
                </c:pt>
              </c:numCache>
            </c:numRef>
          </c:cat>
          <c:val>
            <c:numRef>
              <c:f>DASHBOARD!$W$8:$W$11</c:f>
              <c:numCache>
                <c:formatCode>"₹"#,##0.00_);[Red]\("₹"#,##0.00\)</c:formatCode>
                <c:ptCount val="4"/>
                <c:pt idx="0">
                  <c:v>10138.197144206841</c:v>
                </c:pt>
                <c:pt idx="1">
                  <c:v>10623.522355634139</c:v>
                </c:pt>
                <c:pt idx="2">
                  <c:v>11122.223842450885</c:v>
                </c:pt>
                <c:pt idx="3">
                  <c:v>11634.125424693848</c:v>
                </c:pt>
              </c:numCache>
            </c:numRef>
          </c:val>
          <c:smooth val="0"/>
          <c:extLst>
            <c:ext xmlns:c16="http://schemas.microsoft.com/office/drawing/2014/chart" uri="{C3380CC4-5D6E-409C-BE32-E72D297353CC}">
              <c16:uniqueId val="{00000000-E191-4BBB-A2DF-B16D778EBDF9}"/>
            </c:ext>
          </c:extLst>
        </c:ser>
        <c:dLbls>
          <c:showLegendKey val="0"/>
          <c:showVal val="0"/>
          <c:showCatName val="0"/>
          <c:showSerName val="0"/>
          <c:showPercent val="0"/>
          <c:showBubbleSize val="0"/>
        </c:dLbls>
        <c:smooth val="0"/>
        <c:axId val="185496479"/>
        <c:axId val="185497919"/>
      </c:lineChart>
      <c:catAx>
        <c:axId val="185496479"/>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97919"/>
        <c:crosses val="autoZero"/>
        <c:auto val="1"/>
        <c:lblAlgn val="ctr"/>
        <c:lblOffset val="100"/>
        <c:noMultiLvlLbl val="0"/>
      </c:catAx>
      <c:valAx>
        <c:axId val="185497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964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Total Interest Paid vs Interest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DASHBOARD!$Y$39</c:f>
              <c:strCache>
                <c:ptCount val="1"/>
                <c:pt idx="0">
                  <c:v>Total Interest</c:v>
                </c:pt>
              </c:strCache>
            </c:strRef>
          </c:tx>
          <c:spPr>
            <a:ln w="28575" cap="rnd">
              <a:solidFill>
                <a:schemeClr val="accent2"/>
              </a:solidFill>
              <a:round/>
            </a:ln>
            <a:effectLst/>
          </c:spPr>
          <c:marker>
            <c:symbol val="none"/>
          </c:marker>
          <c:cat>
            <c:numRef>
              <c:f>DASHBOARD!$V$40:$V$43</c:f>
              <c:numCache>
                <c:formatCode>0%</c:formatCode>
                <c:ptCount val="4"/>
                <c:pt idx="0">
                  <c:v>0.08</c:v>
                </c:pt>
                <c:pt idx="1">
                  <c:v>0.1</c:v>
                </c:pt>
                <c:pt idx="2">
                  <c:v>0.12</c:v>
                </c:pt>
                <c:pt idx="3">
                  <c:v>0.14000000000000001</c:v>
                </c:pt>
              </c:numCache>
            </c:numRef>
          </c:cat>
          <c:val>
            <c:numRef>
              <c:f>DASHBOARD!$Y$40:$Y$43</c:f>
              <c:numCache>
                <c:formatCode>"₹"#,##0.00_);[Red]\("₹"#,##0.00\)</c:formatCode>
                <c:ptCount val="4"/>
                <c:pt idx="0">
                  <c:v>108291.82865241042</c:v>
                </c:pt>
                <c:pt idx="1">
                  <c:v>137411.34133804834</c:v>
                </c:pt>
                <c:pt idx="2">
                  <c:v>167333.43054705311</c:v>
                </c:pt>
                <c:pt idx="3">
                  <c:v>198047.52548163082</c:v>
                </c:pt>
              </c:numCache>
            </c:numRef>
          </c:val>
          <c:smooth val="0"/>
          <c:extLst>
            <c:ext xmlns:c16="http://schemas.microsoft.com/office/drawing/2014/chart" uri="{C3380CC4-5D6E-409C-BE32-E72D297353CC}">
              <c16:uniqueId val="{00000001-EA53-4348-9E41-67D478815813}"/>
            </c:ext>
          </c:extLst>
        </c:ser>
        <c:dLbls>
          <c:showLegendKey val="0"/>
          <c:showVal val="0"/>
          <c:showCatName val="0"/>
          <c:showSerName val="0"/>
          <c:showPercent val="0"/>
          <c:showBubbleSize val="0"/>
        </c:dLbls>
        <c:smooth val="0"/>
        <c:axId val="1832383551"/>
        <c:axId val="1832381151"/>
      </c:lineChart>
      <c:catAx>
        <c:axId val="183238355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81151"/>
        <c:crosses val="autoZero"/>
        <c:auto val="1"/>
        <c:lblAlgn val="ctr"/>
        <c:lblOffset val="100"/>
        <c:noMultiLvlLbl val="0"/>
      </c:catAx>
      <c:valAx>
        <c:axId val="1832381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83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14</xdr:row>
      <xdr:rowOff>0</xdr:rowOff>
    </xdr:from>
    <xdr:to>
      <xdr:col>7</xdr:col>
      <xdr:colOff>544530</xdr:colOff>
      <xdr:row>29</xdr:row>
      <xdr:rowOff>25685</xdr:rowOff>
    </xdr:to>
    <xdr:graphicFrame macro="">
      <xdr:nvGraphicFramePr>
        <xdr:cNvPr id="8" name="Chart 7">
          <a:extLst>
            <a:ext uri="{FF2B5EF4-FFF2-40B4-BE49-F238E27FC236}">
              <a16:creationId xmlns:a16="http://schemas.microsoft.com/office/drawing/2014/main" id="{F4AD96AC-1DAD-44F2-ABA5-5EDFDF5B2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809384</xdr:colOff>
      <xdr:row>14</xdr:row>
      <xdr:rowOff>54428</xdr:rowOff>
    </xdr:from>
    <xdr:to>
      <xdr:col>16</xdr:col>
      <xdr:colOff>548127</xdr:colOff>
      <xdr:row>21</xdr:row>
      <xdr:rowOff>54429</xdr:rowOff>
    </xdr:to>
    <xdr:sp macro="" textlink="">
      <xdr:nvSpPr>
        <xdr:cNvPr id="9" name="TextBox 8">
          <a:extLst>
            <a:ext uri="{FF2B5EF4-FFF2-40B4-BE49-F238E27FC236}">
              <a16:creationId xmlns:a16="http://schemas.microsoft.com/office/drawing/2014/main" id="{B09E4403-DB47-9055-ECF1-B644D833156E}"/>
            </a:ext>
          </a:extLst>
        </xdr:cNvPr>
        <xdr:cNvSpPr txBox="1"/>
      </xdr:nvSpPr>
      <xdr:spPr>
        <a:xfrm>
          <a:off x="8357666" y="2564546"/>
          <a:ext cx="5476155" cy="1255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This chart shows how the outstanding loan balance declines over time as monthly EMI payments are made.</a:t>
          </a:r>
        </a:p>
        <a:p>
          <a:r>
            <a:rPr lang="en-IN" sz="1200"/>
            <a:t>At the beginning of the loan, the balance decreases slowly because a larger portion of the EMI goes toward interest. As the loan progresses, more of each EMI contributes to principal repayment, accelerating the reduction of the remaining balance.</a:t>
          </a:r>
        </a:p>
      </xdr:txBody>
    </xdr:sp>
    <xdr:clientData/>
  </xdr:twoCellAnchor>
  <xdr:oneCellAnchor>
    <xdr:from>
      <xdr:col>12</xdr:col>
      <xdr:colOff>457200</xdr:colOff>
      <xdr:row>25</xdr:row>
      <xdr:rowOff>108857</xdr:rowOff>
    </xdr:from>
    <xdr:ext cx="184731" cy="264560"/>
    <xdr:sp macro="" textlink="">
      <xdr:nvSpPr>
        <xdr:cNvPr id="10" name="TextBox 9">
          <a:extLst>
            <a:ext uri="{FF2B5EF4-FFF2-40B4-BE49-F238E27FC236}">
              <a16:creationId xmlns:a16="http://schemas.microsoft.com/office/drawing/2014/main" id="{931D80C0-2000-3DB8-BFDE-8A545C03313A}"/>
            </a:ext>
          </a:extLst>
        </xdr:cNvPr>
        <xdr:cNvSpPr txBox="1"/>
      </xdr:nvSpPr>
      <xdr:spPr>
        <a:xfrm>
          <a:off x="11288486" y="4735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0</xdr:colOff>
      <xdr:row>31</xdr:row>
      <xdr:rowOff>0</xdr:rowOff>
    </xdr:from>
    <xdr:to>
      <xdr:col>7</xdr:col>
      <xdr:colOff>685800</xdr:colOff>
      <xdr:row>46</xdr:row>
      <xdr:rowOff>128309</xdr:rowOff>
    </xdr:to>
    <xdr:graphicFrame macro="">
      <xdr:nvGraphicFramePr>
        <xdr:cNvPr id="11" name="Chart 10">
          <a:extLst>
            <a:ext uri="{FF2B5EF4-FFF2-40B4-BE49-F238E27FC236}">
              <a16:creationId xmlns:a16="http://schemas.microsoft.com/office/drawing/2014/main" id="{04EE2E71-87B7-4448-B5E0-4AEE11A07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32</xdr:row>
      <xdr:rowOff>0</xdr:rowOff>
    </xdr:from>
    <xdr:to>
      <xdr:col>17</xdr:col>
      <xdr:colOff>108858</xdr:colOff>
      <xdr:row>37</xdr:row>
      <xdr:rowOff>155510</xdr:rowOff>
    </xdr:to>
    <xdr:sp macro="" textlink="">
      <xdr:nvSpPr>
        <xdr:cNvPr id="14" name="TextBox 13">
          <a:extLst>
            <a:ext uri="{FF2B5EF4-FFF2-40B4-BE49-F238E27FC236}">
              <a16:creationId xmlns:a16="http://schemas.microsoft.com/office/drawing/2014/main" id="{A797D63F-80D6-4A61-907E-131987AB15F7}"/>
            </a:ext>
          </a:extLst>
        </xdr:cNvPr>
        <xdr:cNvSpPr txBox="1"/>
      </xdr:nvSpPr>
      <xdr:spPr>
        <a:xfrm>
          <a:off x="8397551" y="5971592"/>
          <a:ext cx="5567266" cy="10885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This chart illustrates how each EMI payment is divided between interest and principal throughout the loan tenure.</a:t>
          </a:r>
        </a:p>
        <a:p>
          <a:r>
            <a:rPr lang="en-IN"/>
            <a:t>In the early months, a larger share of the EMI is allocated to interest because the outstanding loan balance is higher. Over time, the interest component decreases while the principal repayment increases, resulting in faster reduction of the loan balance.</a:t>
          </a:r>
        </a:p>
        <a:p>
          <a:endParaRPr lang="en-IN" sz="1100"/>
        </a:p>
      </xdr:txBody>
    </xdr:sp>
    <xdr:clientData/>
  </xdr:twoCellAnchor>
  <xdr:twoCellAnchor>
    <xdr:from>
      <xdr:col>3</xdr:col>
      <xdr:colOff>0</xdr:colOff>
      <xdr:row>56</xdr:row>
      <xdr:rowOff>0</xdr:rowOff>
    </xdr:from>
    <xdr:to>
      <xdr:col>6</xdr:col>
      <xdr:colOff>823428</xdr:colOff>
      <xdr:row>70</xdr:row>
      <xdr:rowOff>56744</xdr:rowOff>
    </xdr:to>
    <xdr:graphicFrame macro="">
      <xdr:nvGraphicFramePr>
        <xdr:cNvPr id="22" name="Chart 21">
          <a:extLst>
            <a:ext uri="{FF2B5EF4-FFF2-40B4-BE49-F238E27FC236}">
              <a16:creationId xmlns:a16="http://schemas.microsoft.com/office/drawing/2014/main" id="{FF68E117-712C-4DC3-92B5-A636F5805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0</xdr:colOff>
      <xdr:row>57</xdr:row>
      <xdr:rowOff>0</xdr:rowOff>
    </xdr:from>
    <xdr:ext cx="4386943" cy="1125693"/>
    <xdr:sp macro="" textlink="">
      <xdr:nvSpPr>
        <xdr:cNvPr id="24" name="TextBox 23">
          <a:extLst>
            <a:ext uri="{FF2B5EF4-FFF2-40B4-BE49-F238E27FC236}">
              <a16:creationId xmlns:a16="http://schemas.microsoft.com/office/drawing/2014/main" id="{A753B485-F9E4-437C-870D-3573FD011775}"/>
            </a:ext>
          </a:extLst>
        </xdr:cNvPr>
        <xdr:cNvSpPr txBox="1"/>
      </xdr:nvSpPr>
      <xdr:spPr>
        <a:xfrm>
          <a:off x="7518400" y="10134600"/>
          <a:ext cx="4386943"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This chart shows the total cost of the loan divided</a:t>
          </a:r>
        </a:p>
        <a:p>
          <a:r>
            <a:rPr lang="en-IN" sz="1100"/>
            <a:t>between principal and interest.</a:t>
          </a:r>
        </a:p>
        <a:p>
          <a:r>
            <a:rPr lang="en-IN" sz="1100"/>
            <a:t>Although the borrower receives ₹5,00,000, the total</a:t>
          </a:r>
        </a:p>
        <a:p>
          <a:r>
            <a:rPr lang="en-IN" sz="1100"/>
            <a:t>repayment over the loan tenure becomes ₹6,37,411.</a:t>
          </a:r>
        </a:p>
        <a:p>
          <a:r>
            <a:rPr lang="en-IN" sz="1100"/>
            <a:t>Approximately 22% of the total payment represents</a:t>
          </a:r>
        </a:p>
        <a:p>
          <a:r>
            <a:rPr lang="en-IN" sz="1100"/>
            <a:t>interest paid to the lender.</a:t>
          </a:r>
        </a:p>
      </xdr:txBody>
    </xdr:sp>
    <xdr:clientData/>
  </xdr:oneCellAnchor>
  <xdr:twoCellAnchor>
    <xdr:from>
      <xdr:col>21</xdr:col>
      <xdr:colOff>0</xdr:colOff>
      <xdr:row>12</xdr:row>
      <xdr:rowOff>-1</xdr:rowOff>
    </xdr:from>
    <xdr:to>
      <xdr:col>26</xdr:col>
      <xdr:colOff>374754</xdr:colOff>
      <xdr:row>26</xdr:row>
      <xdr:rowOff>49966</xdr:rowOff>
    </xdr:to>
    <xdr:graphicFrame macro="">
      <xdr:nvGraphicFramePr>
        <xdr:cNvPr id="27" name="Chart 26">
          <a:extLst>
            <a:ext uri="{FF2B5EF4-FFF2-40B4-BE49-F238E27FC236}">
              <a16:creationId xmlns:a16="http://schemas.microsoft.com/office/drawing/2014/main" id="{BC3FD0FB-705D-4445-84D7-4F8FBDEC8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20</xdr:col>
      <xdr:colOff>581526</xdr:colOff>
      <xdr:row>26</xdr:row>
      <xdr:rowOff>140368</xdr:rowOff>
    </xdr:from>
    <xdr:ext cx="4351422" cy="953466"/>
    <xdr:sp macro="" textlink="">
      <xdr:nvSpPr>
        <xdr:cNvPr id="28" name="TextBox 27">
          <a:extLst>
            <a:ext uri="{FF2B5EF4-FFF2-40B4-BE49-F238E27FC236}">
              <a16:creationId xmlns:a16="http://schemas.microsoft.com/office/drawing/2014/main" id="{CEACCA93-71F7-C759-30BB-110E1875F36F}"/>
            </a:ext>
          </a:extLst>
        </xdr:cNvPr>
        <xdr:cNvSpPr txBox="1"/>
      </xdr:nvSpPr>
      <xdr:spPr>
        <a:xfrm>
          <a:off x="16302789" y="4832684"/>
          <a:ext cx="4351422"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tx1"/>
              </a:solidFill>
              <a:effectLst/>
              <a:latin typeface="+mn-lt"/>
              <a:ea typeface="+mn-ea"/>
              <a:cs typeface="+mn-cs"/>
            </a:rPr>
            <a:t>This chart shows how changes in interest rates affect the</a:t>
          </a:r>
          <a:br>
            <a:rPr lang="en-IN" sz="1100">
              <a:solidFill>
                <a:schemeClr val="tx1"/>
              </a:solidFill>
              <a:effectLst/>
              <a:latin typeface="+mn-lt"/>
              <a:ea typeface="+mn-ea"/>
              <a:cs typeface="+mn-cs"/>
            </a:rPr>
          </a:br>
          <a:r>
            <a:rPr lang="en-IN" sz="1100">
              <a:solidFill>
                <a:schemeClr val="tx1"/>
              </a:solidFill>
              <a:effectLst/>
              <a:latin typeface="+mn-lt"/>
              <a:ea typeface="+mn-ea"/>
              <a:cs typeface="+mn-cs"/>
            </a:rPr>
            <a:t>monthly EMI for the same loan amount and tenure.</a:t>
          </a:r>
          <a:br>
            <a:rPr lang="en-IN" sz="1100">
              <a:solidFill>
                <a:schemeClr val="tx1"/>
              </a:solidFill>
              <a:effectLst/>
              <a:latin typeface="+mn-lt"/>
              <a:ea typeface="+mn-ea"/>
              <a:cs typeface="+mn-cs"/>
            </a:rPr>
          </a:br>
          <a:r>
            <a:rPr lang="en-IN" sz="1100">
              <a:solidFill>
                <a:schemeClr val="tx1"/>
              </a:solidFill>
              <a:effectLst/>
              <a:latin typeface="+mn-lt"/>
              <a:ea typeface="+mn-ea"/>
              <a:cs typeface="+mn-cs"/>
            </a:rPr>
            <a:t>Higher interest rates increase the borrower’s monthly</a:t>
          </a:r>
          <a:br>
            <a:rPr lang="en-IN" sz="1100">
              <a:solidFill>
                <a:schemeClr val="tx1"/>
              </a:solidFill>
              <a:effectLst/>
              <a:latin typeface="+mn-lt"/>
              <a:ea typeface="+mn-ea"/>
              <a:cs typeface="+mn-cs"/>
            </a:rPr>
          </a:br>
          <a:r>
            <a:rPr lang="en-IN" sz="1100">
              <a:solidFill>
                <a:schemeClr val="tx1"/>
              </a:solidFill>
              <a:effectLst/>
              <a:latin typeface="+mn-lt"/>
              <a:ea typeface="+mn-ea"/>
              <a:cs typeface="+mn-cs"/>
            </a:rPr>
            <a:t>payment and the total cost of the loan.</a:t>
          </a:r>
          <a:endParaRPr lang="en-IN">
            <a:effectLst/>
          </a:endParaRPr>
        </a:p>
        <a:p>
          <a:endParaRPr lang="en-IN" sz="1100"/>
        </a:p>
      </xdr:txBody>
    </xdr:sp>
    <xdr:clientData/>
  </xdr:oneCellAnchor>
  <xdr:twoCellAnchor>
    <xdr:from>
      <xdr:col>21</xdr:col>
      <xdr:colOff>0</xdr:colOff>
      <xdr:row>44</xdr:row>
      <xdr:rowOff>0</xdr:rowOff>
    </xdr:from>
    <xdr:to>
      <xdr:col>26</xdr:col>
      <xdr:colOff>592667</xdr:colOff>
      <xdr:row>59</xdr:row>
      <xdr:rowOff>62089</xdr:rowOff>
    </xdr:to>
    <xdr:graphicFrame macro="">
      <xdr:nvGraphicFramePr>
        <xdr:cNvPr id="32" name="Chart 31">
          <a:extLst>
            <a:ext uri="{FF2B5EF4-FFF2-40B4-BE49-F238E27FC236}">
              <a16:creationId xmlns:a16="http://schemas.microsoft.com/office/drawing/2014/main" id="{982B31D1-343A-4431-BA14-AC5D1DEE3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C3252-5F51-4FB2-AF28-05A6DE7B1EE8}">
  <dimension ref="A1:F7"/>
  <sheetViews>
    <sheetView zoomScale="115" zoomScaleNormal="115" workbookViewId="0">
      <selection activeCell="C7" sqref="C7"/>
    </sheetView>
  </sheetViews>
  <sheetFormatPr defaultRowHeight="14.4" x14ac:dyDescent="0.3"/>
  <cols>
    <col min="1" max="1" width="24.77734375" customWidth="1"/>
    <col min="2" max="3" width="20.33203125" customWidth="1"/>
  </cols>
  <sheetData>
    <row r="1" spans="1:6" x14ac:dyDescent="0.3">
      <c r="A1" s="7" t="s">
        <v>0</v>
      </c>
      <c r="B1" s="7" t="s">
        <v>1</v>
      </c>
      <c r="C1" s="7" t="s">
        <v>7</v>
      </c>
    </row>
    <row r="2" spans="1:6" x14ac:dyDescent="0.3">
      <c r="A2" s="1" t="s">
        <v>2</v>
      </c>
      <c r="B2" s="1">
        <v>500000</v>
      </c>
      <c r="C2" s="3" t="s">
        <v>8</v>
      </c>
    </row>
    <row r="3" spans="1:6" x14ac:dyDescent="0.3">
      <c r="A3" s="1" t="s">
        <v>3</v>
      </c>
      <c r="B3" s="5">
        <v>0.1</v>
      </c>
      <c r="C3" s="3" t="s">
        <v>9</v>
      </c>
    </row>
    <row r="4" spans="1:6" x14ac:dyDescent="0.3">
      <c r="A4" s="1" t="s">
        <v>4</v>
      </c>
      <c r="B4" s="1">
        <v>5</v>
      </c>
      <c r="C4" s="3" t="s">
        <v>10</v>
      </c>
    </row>
    <row r="5" spans="1:6" x14ac:dyDescent="0.3">
      <c r="A5" s="1" t="s">
        <v>5</v>
      </c>
      <c r="B5" s="1" t="s">
        <v>6</v>
      </c>
      <c r="C5" s="4"/>
      <c r="F5" t="s">
        <v>21</v>
      </c>
    </row>
    <row r="6" spans="1:6" x14ac:dyDescent="0.3">
      <c r="F6" t="s">
        <v>22</v>
      </c>
    </row>
    <row r="7" spans="1:6" x14ac:dyDescent="0.3">
      <c r="F7" t="s">
        <v>23</v>
      </c>
    </row>
  </sheetData>
  <dataValidations count="1">
    <dataValidation type="list" allowBlank="1" showInputMessage="1" showErrorMessage="1" sqref="A5:B5" xr:uid="{20CC6C09-0CA0-44FF-B38A-002BC6E891F7}">
      <formula1>"Data → Data Validation → List"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EA4A-03B9-41A6-8379-306D6A94515A}">
  <dimension ref="A1:J69"/>
  <sheetViews>
    <sheetView topLeftCell="A2" zoomScale="85" zoomScaleNormal="85" workbookViewId="0">
      <selection activeCell="J10" sqref="J10"/>
    </sheetView>
  </sheetViews>
  <sheetFormatPr defaultRowHeight="14.4" x14ac:dyDescent="0.3"/>
  <cols>
    <col min="1" max="1" width="22.44140625" customWidth="1"/>
    <col min="2" max="2" width="21.77734375" customWidth="1"/>
    <col min="3" max="3" width="10.44140625" bestFit="1" customWidth="1"/>
    <col min="5" max="5" width="10.44140625" bestFit="1" customWidth="1"/>
    <col min="6" max="6" width="12" bestFit="1" customWidth="1"/>
    <col min="8" max="8" width="49.88671875" bestFit="1" customWidth="1"/>
    <col min="9" max="9" width="17.21875" customWidth="1"/>
    <col min="10" max="10" width="39.77734375" bestFit="1" customWidth="1"/>
    <col min="12" max="12" width="44.77734375" bestFit="1" customWidth="1"/>
  </cols>
  <sheetData>
    <row r="1" spans="1:10" x14ac:dyDescent="0.3">
      <c r="A1" s="2" t="s">
        <v>11</v>
      </c>
      <c r="B1" s="2" t="s">
        <v>12</v>
      </c>
      <c r="H1" s="2" t="s">
        <v>11</v>
      </c>
      <c r="I1" s="2" t="s">
        <v>12</v>
      </c>
      <c r="J1" s="13" t="s">
        <v>28</v>
      </c>
    </row>
    <row r="2" spans="1:10" x14ac:dyDescent="0.3">
      <c r="A2" s="1" t="s">
        <v>13</v>
      </c>
      <c r="B2" s="1">
        <f>INPUT!B3/12</f>
        <v>8.3333333333333332E-3</v>
      </c>
      <c r="H2" s="1" t="s">
        <v>24</v>
      </c>
      <c r="I2" s="6">
        <f>B4</f>
        <v>10623.522355634139</v>
      </c>
      <c r="J2" s="4" t="s">
        <v>29</v>
      </c>
    </row>
    <row r="3" spans="1:10" x14ac:dyDescent="0.3">
      <c r="A3" s="1" t="s">
        <v>14</v>
      </c>
      <c r="B3" s="1">
        <f>INPUT!B4*12</f>
        <v>60</v>
      </c>
      <c r="H3" s="1" t="s">
        <v>25</v>
      </c>
      <c r="I3" s="6">
        <f>B4 * B3</f>
        <v>637411.34133804834</v>
      </c>
      <c r="J3" s="4" t="s">
        <v>30</v>
      </c>
    </row>
    <row r="4" spans="1:10" x14ac:dyDescent="0.3">
      <c r="A4" s="1" t="s">
        <v>15</v>
      </c>
      <c r="B4" s="6">
        <f>PMT(INPUT!B3/12, INPUT!B4*12, -INPUT!B2)</f>
        <v>10623.522355634139</v>
      </c>
      <c r="H4" s="1" t="s">
        <v>26</v>
      </c>
      <c r="I4" s="14">
        <f>SUM(D9:D68)</f>
        <v>137411.34133804819</v>
      </c>
      <c r="J4" s="4" t="s">
        <v>31</v>
      </c>
    </row>
    <row r="5" spans="1:10" x14ac:dyDescent="0.3">
      <c r="H5" s="1" t="s">
        <v>27</v>
      </c>
      <c r="I5" s="14">
        <f>INPUT!B2 + SUM(D9:D68)</f>
        <v>637411.34133804822</v>
      </c>
      <c r="J5" s="4" t="s">
        <v>32</v>
      </c>
    </row>
    <row r="7" spans="1:10" ht="18" x14ac:dyDescent="0.35">
      <c r="B7" s="33" t="s">
        <v>46</v>
      </c>
    </row>
    <row r="8" spans="1:10" ht="28.8" x14ac:dyDescent="0.3">
      <c r="A8" s="11" t="s">
        <v>16</v>
      </c>
      <c r="B8" s="9" t="s">
        <v>17</v>
      </c>
      <c r="C8" s="9" t="s">
        <v>15</v>
      </c>
      <c r="D8" s="9" t="s">
        <v>18</v>
      </c>
      <c r="E8" s="9" t="s">
        <v>19</v>
      </c>
      <c r="F8" s="9" t="s">
        <v>20</v>
      </c>
      <c r="H8" t="s">
        <v>33</v>
      </c>
    </row>
    <row r="9" spans="1:10" x14ac:dyDescent="0.3">
      <c r="A9" s="12">
        <v>1</v>
      </c>
      <c r="B9" s="10">
        <f xml:space="preserve"> INPUT!B2</f>
        <v>500000</v>
      </c>
      <c r="C9" s="10">
        <f xml:space="preserve"> $B$4</f>
        <v>10623.522355634139</v>
      </c>
      <c r="D9" s="10">
        <f xml:space="preserve"> B9 * $B$2</f>
        <v>4166.666666666667</v>
      </c>
      <c r="E9" s="10">
        <f xml:space="preserve"> C9 - D9</f>
        <v>6456.8556889674719</v>
      </c>
      <c r="F9" s="10">
        <f xml:space="preserve"> B9 - E9</f>
        <v>493543.14431103255</v>
      </c>
      <c r="H9" t="s">
        <v>34</v>
      </c>
    </row>
    <row r="10" spans="1:10" x14ac:dyDescent="0.3">
      <c r="A10" s="12">
        <v>2</v>
      </c>
      <c r="B10" s="10">
        <f xml:space="preserve"> F9</f>
        <v>493543.14431103255</v>
      </c>
      <c r="C10" s="10">
        <f t="shared" ref="C10:C68" si="0" xml:space="preserve"> $B$4</f>
        <v>10623.522355634139</v>
      </c>
      <c r="D10" s="10">
        <f t="shared" ref="D10:D68" si="1" xml:space="preserve"> B10 * $B$2</f>
        <v>4112.8595359252713</v>
      </c>
      <c r="E10" s="10">
        <f t="shared" ref="E10:E68" si="2" xml:space="preserve"> C10 - D10</f>
        <v>6510.6628197088676</v>
      </c>
      <c r="F10" s="10">
        <f t="shared" ref="F10:F67" si="3" xml:space="preserve"> B10 - E10</f>
        <v>487032.48149132368</v>
      </c>
      <c r="H10" t="s">
        <v>35</v>
      </c>
    </row>
    <row r="11" spans="1:10" x14ac:dyDescent="0.3">
      <c r="A11" s="12">
        <v>3</v>
      </c>
      <c r="B11" s="10">
        <f t="shared" ref="B11:B68" si="4" xml:space="preserve"> F10</f>
        <v>487032.48149132368</v>
      </c>
      <c r="C11" s="10">
        <f t="shared" si="0"/>
        <v>10623.522355634139</v>
      </c>
      <c r="D11" s="10">
        <f t="shared" si="1"/>
        <v>4058.6040124276974</v>
      </c>
      <c r="E11" s="10">
        <f xml:space="preserve"> C11 - D11</f>
        <v>6564.9183432064419</v>
      </c>
      <c r="F11" s="10">
        <f t="shared" si="3"/>
        <v>480467.56314811722</v>
      </c>
    </row>
    <row r="12" spans="1:10" x14ac:dyDescent="0.3">
      <c r="A12" s="12">
        <v>4</v>
      </c>
      <c r="B12" s="10">
        <f t="shared" si="4"/>
        <v>480467.56314811722</v>
      </c>
      <c r="C12" s="10">
        <f t="shared" si="0"/>
        <v>10623.522355634139</v>
      </c>
      <c r="D12" s="10">
        <f t="shared" si="1"/>
        <v>4003.8963595676432</v>
      </c>
      <c r="E12" s="10">
        <f t="shared" si="2"/>
        <v>6619.6259960664956</v>
      </c>
      <c r="F12" s="10">
        <f t="shared" si="3"/>
        <v>473847.93715205073</v>
      </c>
    </row>
    <row r="13" spans="1:10" x14ac:dyDescent="0.3">
      <c r="A13" s="12">
        <v>5</v>
      </c>
      <c r="B13" s="10">
        <f t="shared" si="4"/>
        <v>473847.93715205073</v>
      </c>
      <c r="C13" s="10">
        <f t="shared" si="0"/>
        <v>10623.522355634139</v>
      </c>
      <c r="D13" s="10">
        <f t="shared" si="1"/>
        <v>3948.7328096004226</v>
      </c>
      <c r="E13" s="10">
        <f t="shared" si="2"/>
        <v>6674.7895460337168</v>
      </c>
      <c r="F13" s="10">
        <f t="shared" si="3"/>
        <v>467173.14760601701</v>
      </c>
      <c r="H13" t="s">
        <v>36</v>
      </c>
    </row>
    <row r="14" spans="1:10" x14ac:dyDescent="0.3">
      <c r="A14" s="12">
        <v>6</v>
      </c>
      <c r="B14" s="10">
        <f t="shared" si="4"/>
        <v>467173.14760601701</v>
      </c>
      <c r="C14" s="10">
        <f t="shared" si="0"/>
        <v>10623.522355634139</v>
      </c>
      <c r="D14" s="10">
        <f t="shared" si="1"/>
        <v>3893.1095633834752</v>
      </c>
      <c r="E14" s="10">
        <f t="shared" si="2"/>
        <v>6730.4127922506632</v>
      </c>
      <c r="F14" s="10">
        <f t="shared" si="3"/>
        <v>460442.73481376632</v>
      </c>
      <c r="H14" t="s">
        <v>37</v>
      </c>
    </row>
    <row r="15" spans="1:10" x14ac:dyDescent="0.3">
      <c r="A15" s="12">
        <v>7</v>
      </c>
      <c r="B15" s="10">
        <f t="shared" si="4"/>
        <v>460442.73481376632</v>
      </c>
      <c r="C15" s="10">
        <f t="shared" si="0"/>
        <v>10623.522355634139</v>
      </c>
      <c r="D15" s="10">
        <f t="shared" si="1"/>
        <v>3837.0227901147191</v>
      </c>
      <c r="E15" s="10">
        <f t="shared" si="2"/>
        <v>6786.4995655194198</v>
      </c>
      <c r="F15" s="10">
        <f t="shared" si="3"/>
        <v>453656.23524824693</v>
      </c>
      <c r="H15" t="s">
        <v>38</v>
      </c>
    </row>
    <row r="16" spans="1:10" x14ac:dyDescent="0.3">
      <c r="A16" s="12">
        <v>8</v>
      </c>
      <c r="B16" s="10">
        <f t="shared" si="4"/>
        <v>453656.23524824693</v>
      </c>
      <c r="C16" s="10">
        <f t="shared" si="0"/>
        <v>10623.522355634139</v>
      </c>
      <c r="D16" s="10">
        <f t="shared" si="1"/>
        <v>3780.4686270687243</v>
      </c>
      <c r="E16" s="10">
        <f t="shared" si="2"/>
        <v>6843.0537285654145</v>
      </c>
      <c r="F16" s="10">
        <f t="shared" si="3"/>
        <v>446813.18151968153</v>
      </c>
    </row>
    <row r="17" spans="1:6" x14ac:dyDescent="0.3">
      <c r="A17" s="12">
        <v>9</v>
      </c>
      <c r="B17" s="10">
        <f t="shared" si="4"/>
        <v>446813.18151968153</v>
      </c>
      <c r="C17" s="10">
        <f t="shared" si="0"/>
        <v>10623.522355634139</v>
      </c>
      <c r="D17" s="10">
        <f t="shared" si="1"/>
        <v>3723.4431793306794</v>
      </c>
      <c r="E17" s="10">
        <f t="shared" si="2"/>
        <v>6900.0791763034595</v>
      </c>
      <c r="F17" s="10">
        <f t="shared" si="3"/>
        <v>439913.10234337806</v>
      </c>
    </row>
    <row r="18" spans="1:6" x14ac:dyDescent="0.3">
      <c r="A18" s="12">
        <v>10</v>
      </c>
      <c r="B18" s="10">
        <f t="shared" si="4"/>
        <v>439913.10234337806</v>
      </c>
      <c r="C18" s="10">
        <f t="shared" si="0"/>
        <v>10623.522355634139</v>
      </c>
      <c r="D18" s="10">
        <f t="shared" si="1"/>
        <v>3665.9425195281506</v>
      </c>
      <c r="E18" s="10">
        <f t="shared" si="2"/>
        <v>6957.5798361059879</v>
      </c>
      <c r="F18" s="10">
        <f t="shared" si="3"/>
        <v>432955.52250727208</v>
      </c>
    </row>
    <row r="19" spans="1:6" x14ac:dyDescent="0.3">
      <c r="A19" s="12">
        <v>11</v>
      </c>
      <c r="B19" s="10">
        <f t="shared" si="4"/>
        <v>432955.52250727208</v>
      </c>
      <c r="C19" s="10">
        <f t="shared" si="0"/>
        <v>10623.522355634139</v>
      </c>
      <c r="D19" s="10">
        <f t="shared" si="1"/>
        <v>3607.9626875606004</v>
      </c>
      <c r="E19" s="10">
        <f t="shared" si="2"/>
        <v>7015.559668073538</v>
      </c>
      <c r="F19" s="10">
        <f t="shared" si="3"/>
        <v>425939.96283919853</v>
      </c>
    </row>
    <row r="20" spans="1:6" x14ac:dyDescent="0.3">
      <c r="A20" s="12">
        <v>12</v>
      </c>
      <c r="B20" s="10">
        <f t="shared" si="4"/>
        <v>425939.96283919853</v>
      </c>
      <c r="C20" s="10">
        <f t="shared" si="0"/>
        <v>10623.522355634139</v>
      </c>
      <c r="D20" s="10">
        <f t="shared" si="1"/>
        <v>3549.4996903266542</v>
      </c>
      <c r="E20" s="10">
        <f t="shared" si="2"/>
        <v>7074.0226653074842</v>
      </c>
      <c r="F20" s="10">
        <f t="shared" si="3"/>
        <v>418865.94017389102</v>
      </c>
    </row>
    <row r="21" spans="1:6" x14ac:dyDescent="0.3">
      <c r="A21" s="12">
        <v>13</v>
      </c>
      <c r="B21" s="10">
        <f t="shared" si="4"/>
        <v>418865.94017389102</v>
      </c>
      <c r="C21" s="10">
        <f t="shared" si="0"/>
        <v>10623.522355634139</v>
      </c>
      <c r="D21" s="10">
        <f t="shared" si="1"/>
        <v>3490.5495014490916</v>
      </c>
      <c r="E21" s="10">
        <f t="shared" si="2"/>
        <v>7132.9728541850473</v>
      </c>
      <c r="F21" s="10">
        <f t="shared" si="3"/>
        <v>411732.96731970599</v>
      </c>
    </row>
    <row r="22" spans="1:6" x14ac:dyDescent="0.3">
      <c r="A22" s="12">
        <v>14</v>
      </c>
      <c r="B22" s="10">
        <f t="shared" si="4"/>
        <v>411732.96731970599</v>
      </c>
      <c r="C22" s="10">
        <f t="shared" si="0"/>
        <v>10623.522355634139</v>
      </c>
      <c r="D22" s="10">
        <f t="shared" si="1"/>
        <v>3431.1080609975497</v>
      </c>
      <c r="E22" s="10">
        <f t="shared" si="2"/>
        <v>7192.4142946365891</v>
      </c>
      <c r="F22" s="10">
        <f t="shared" si="3"/>
        <v>404540.55302506941</v>
      </c>
    </row>
    <row r="23" spans="1:6" x14ac:dyDescent="0.3">
      <c r="A23" s="12">
        <v>15</v>
      </c>
      <c r="B23" s="10">
        <f t="shared" si="4"/>
        <v>404540.55302506941</v>
      </c>
      <c r="C23" s="10">
        <f t="shared" si="0"/>
        <v>10623.522355634139</v>
      </c>
      <c r="D23" s="10">
        <f t="shared" si="1"/>
        <v>3371.1712752089115</v>
      </c>
      <c r="E23" s="10">
        <f t="shared" si="2"/>
        <v>7252.3510804252273</v>
      </c>
      <c r="F23" s="10">
        <f t="shared" si="3"/>
        <v>397288.20194464421</v>
      </c>
    </row>
    <row r="24" spans="1:6" x14ac:dyDescent="0.3">
      <c r="A24" s="12">
        <v>16</v>
      </c>
      <c r="B24" s="10">
        <f t="shared" si="4"/>
        <v>397288.20194464421</v>
      </c>
      <c r="C24" s="10">
        <f t="shared" si="0"/>
        <v>10623.522355634139</v>
      </c>
      <c r="D24" s="10">
        <f t="shared" si="1"/>
        <v>3310.7350162053685</v>
      </c>
      <c r="E24" s="10">
        <f t="shared" si="2"/>
        <v>7312.7873394287708</v>
      </c>
      <c r="F24" s="10">
        <f t="shared" si="3"/>
        <v>389975.41460521542</v>
      </c>
    </row>
    <row r="25" spans="1:6" x14ac:dyDescent="0.3">
      <c r="A25" s="12">
        <v>17</v>
      </c>
      <c r="B25" s="10">
        <f t="shared" si="4"/>
        <v>389975.41460521542</v>
      </c>
      <c r="C25" s="10">
        <f t="shared" si="0"/>
        <v>10623.522355634139</v>
      </c>
      <c r="D25" s="10">
        <f t="shared" si="1"/>
        <v>3249.7951217101286</v>
      </c>
      <c r="E25" s="10">
        <f t="shared" si="2"/>
        <v>7373.7272339240099</v>
      </c>
      <c r="F25" s="10">
        <f t="shared" si="3"/>
        <v>382601.68737129139</v>
      </c>
    </row>
    <row r="26" spans="1:6" x14ac:dyDescent="0.3">
      <c r="A26" s="12">
        <v>18</v>
      </c>
      <c r="B26" s="10">
        <f t="shared" si="4"/>
        <v>382601.68737129139</v>
      </c>
      <c r="C26" s="10">
        <f t="shared" si="0"/>
        <v>10623.522355634139</v>
      </c>
      <c r="D26" s="10">
        <f t="shared" si="1"/>
        <v>3188.3473947607617</v>
      </c>
      <c r="E26" s="10">
        <f t="shared" si="2"/>
        <v>7435.1749608733771</v>
      </c>
      <c r="F26" s="10">
        <f t="shared" si="3"/>
        <v>375166.51241041801</v>
      </c>
    </row>
    <row r="27" spans="1:6" x14ac:dyDescent="0.3">
      <c r="A27" s="12">
        <v>19</v>
      </c>
      <c r="B27" s="10">
        <f t="shared" si="4"/>
        <v>375166.51241041801</v>
      </c>
      <c r="C27" s="10">
        <f t="shared" si="0"/>
        <v>10623.522355634139</v>
      </c>
      <c r="D27" s="10">
        <f t="shared" si="1"/>
        <v>3126.3876034201503</v>
      </c>
      <c r="E27" s="10">
        <f t="shared" si="2"/>
        <v>7497.1347522139886</v>
      </c>
      <c r="F27" s="10">
        <f t="shared" si="3"/>
        <v>367669.377658204</v>
      </c>
    </row>
    <row r="28" spans="1:6" x14ac:dyDescent="0.3">
      <c r="A28" s="12">
        <v>20</v>
      </c>
      <c r="B28" s="10">
        <f t="shared" si="4"/>
        <v>367669.377658204</v>
      </c>
      <c r="C28" s="10">
        <f t="shared" si="0"/>
        <v>10623.522355634139</v>
      </c>
      <c r="D28" s="10">
        <f t="shared" si="1"/>
        <v>3063.9114804850333</v>
      </c>
      <c r="E28" s="10">
        <f t="shared" si="2"/>
        <v>7559.6108751491056</v>
      </c>
      <c r="F28" s="10">
        <f t="shared" si="3"/>
        <v>360109.76678305492</v>
      </c>
    </row>
    <row r="29" spans="1:6" x14ac:dyDescent="0.3">
      <c r="A29" s="12">
        <v>21</v>
      </c>
      <c r="B29" s="10">
        <f t="shared" si="4"/>
        <v>360109.76678305492</v>
      </c>
      <c r="C29" s="10">
        <f t="shared" si="0"/>
        <v>10623.522355634139</v>
      </c>
      <c r="D29" s="10">
        <f t="shared" si="1"/>
        <v>3000.9147231921243</v>
      </c>
      <c r="E29" s="10">
        <f t="shared" si="2"/>
        <v>7622.6076324420146</v>
      </c>
      <c r="F29" s="10">
        <f t="shared" si="3"/>
        <v>352487.15915061289</v>
      </c>
    </row>
    <row r="30" spans="1:6" x14ac:dyDescent="0.3">
      <c r="A30" s="12">
        <v>22</v>
      </c>
      <c r="B30" s="10">
        <f t="shared" si="4"/>
        <v>352487.15915061289</v>
      </c>
      <c r="C30" s="10">
        <f t="shared" si="0"/>
        <v>10623.522355634139</v>
      </c>
      <c r="D30" s="10">
        <f t="shared" si="1"/>
        <v>2937.3929929217738</v>
      </c>
      <c r="E30" s="10">
        <f t="shared" si="2"/>
        <v>7686.129362712365</v>
      </c>
      <c r="F30" s="10">
        <f t="shared" si="3"/>
        <v>344801.02978790051</v>
      </c>
    </row>
    <row r="31" spans="1:6" x14ac:dyDescent="0.3">
      <c r="A31" s="12">
        <v>23</v>
      </c>
      <c r="B31" s="10">
        <f t="shared" si="4"/>
        <v>344801.02978790051</v>
      </c>
      <c r="C31" s="10">
        <f t="shared" si="0"/>
        <v>10623.522355634139</v>
      </c>
      <c r="D31" s="10">
        <f t="shared" si="1"/>
        <v>2873.3419148991707</v>
      </c>
      <c r="E31" s="10">
        <f t="shared" si="2"/>
        <v>7750.1804407349682</v>
      </c>
      <c r="F31" s="10">
        <f t="shared" si="3"/>
        <v>337050.84934716555</v>
      </c>
    </row>
    <row r="32" spans="1:6" x14ac:dyDescent="0.3">
      <c r="A32" s="12">
        <v>24</v>
      </c>
      <c r="B32" s="10">
        <f t="shared" si="4"/>
        <v>337050.84934716555</v>
      </c>
      <c r="C32" s="10">
        <f t="shared" si="0"/>
        <v>10623.522355634139</v>
      </c>
      <c r="D32" s="10">
        <f t="shared" si="1"/>
        <v>2808.7570778930462</v>
      </c>
      <c r="E32" s="10">
        <f t="shared" si="2"/>
        <v>7814.7652777410931</v>
      </c>
      <c r="F32" s="10">
        <f t="shared" si="3"/>
        <v>329236.08406942448</v>
      </c>
    </row>
    <row r="33" spans="1:6" x14ac:dyDescent="0.3">
      <c r="A33" s="12">
        <v>25</v>
      </c>
      <c r="B33" s="10">
        <f t="shared" si="4"/>
        <v>329236.08406942448</v>
      </c>
      <c r="C33" s="10">
        <f t="shared" si="0"/>
        <v>10623.522355634139</v>
      </c>
      <c r="D33" s="10">
        <f t="shared" si="1"/>
        <v>2743.6340339118706</v>
      </c>
      <c r="E33" s="10">
        <f t="shared" si="2"/>
        <v>7879.8883217222683</v>
      </c>
      <c r="F33" s="10">
        <f t="shared" si="3"/>
        <v>321356.19574770221</v>
      </c>
    </row>
    <row r="34" spans="1:6" x14ac:dyDescent="0.3">
      <c r="A34" s="12">
        <v>26</v>
      </c>
      <c r="B34" s="10">
        <f t="shared" si="4"/>
        <v>321356.19574770221</v>
      </c>
      <c r="C34" s="10">
        <f t="shared" si="0"/>
        <v>10623.522355634139</v>
      </c>
      <c r="D34" s="10">
        <f t="shared" si="1"/>
        <v>2677.9682978975184</v>
      </c>
      <c r="E34" s="10">
        <f t="shared" si="2"/>
        <v>7945.554057736621</v>
      </c>
      <c r="F34" s="10">
        <f t="shared" si="3"/>
        <v>313410.64168996556</v>
      </c>
    </row>
    <row r="35" spans="1:6" x14ac:dyDescent="0.3">
      <c r="A35" s="12">
        <v>27</v>
      </c>
      <c r="B35" s="10">
        <f t="shared" si="4"/>
        <v>313410.64168996556</v>
      </c>
      <c r="C35" s="10">
        <f t="shared" si="0"/>
        <v>10623.522355634139</v>
      </c>
      <c r="D35" s="10">
        <f t="shared" si="1"/>
        <v>2611.7553474163797</v>
      </c>
      <c r="E35" s="10">
        <f t="shared" si="2"/>
        <v>8011.7670082177592</v>
      </c>
      <c r="F35" s="10">
        <f t="shared" si="3"/>
        <v>305398.87468174781</v>
      </c>
    </row>
    <row r="36" spans="1:6" x14ac:dyDescent="0.3">
      <c r="A36" s="12">
        <v>28</v>
      </c>
      <c r="B36" s="10">
        <f t="shared" si="4"/>
        <v>305398.87468174781</v>
      </c>
      <c r="C36" s="10">
        <f t="shared" si="0"/>
        <v>10623.522355634139</v>
      </c>
      <c r="D36" s="10">
        <f t="shared" si="1"/>
        <v>2544.9906223478984</v>
      </c>
      <c r="E36" s="10">
        <f t="shared" si="2"/>
        <v>8078.5317332862405</v>
      </c>
      <c r="F36" s="10">
        <f t="shared" si="3"/>
        <v>297320.34294846159</v>
      </c>
    </row>
    <row r="37" spans="1:6" x14ac:dyDescent="0.3">
      <c r="A37" s="12">
        <v>29</v>
      </c>
      <c r="B37" s="10">
        <f t="shared" si="4"/>
        <v>297320.34294846159</v>
      </c>
      <c r="C37" s="10">
        <f t="shared" si="0"/>
        <v>10623.522355634139</v>
      </c>
      <c r="D37" s="10">
        <f t="shared" si="1"/>
        <v>2477.6695245705132</v>
      </c>
      <c r="E37" s="10">
        <f t="shared" si="2"/>
        <v>8145.8528310636257</v>
      </c>
      <c r="F37" s="10">
        <f t="shared" si="3"/>
        <v>289174.49011739797</v>
      </c>
    </row>
    <row r="38" spans="1:6" x14ac:dyDescent="0.3">
      <c r="A38" s="12">
        <v>30</v>
      </c>
      <c r="B38" s="10">
        <f t="shared" si="4"/>
        <v>289174.49011739797</v>
      </c>
      <c r="C38" s="10">
        <f t="shared" si="0"/>
        <v>10623.522355634139</v>
      </c>
      <c r="D38" s="10">
        <f t="shared" si="1"/>
        <v>2409.7874176449832</v>
      </c>
      <c r="E38" s="10">
        <f t="shared" si="2"/>
        <v>8213.7349379891566</v>
      </c>
      <c r="F38" s="10">
        <f t="shared" si="3"/>
        <v>280960.75517940882</v>
      </c>
    </row>
    <row r="39" spans="1:6" x14ac:dyDescent="0.3">
      <c r="A39" s="12">
        <v>31</v>
      </c>
      <c r="B39" s="10">
        <f t="shared" si="4"/>
        <v>280960.75517940882</v>
      </c>
      <c r="C39" s="10">
        <f t="shared" si="0"/>
        <v>10623.522355634139</v>
      </c>
      <c r="D39" s="10">
        <f t="shared" si="1"/>
        <v>2341.3396264950734</v>
      </c>
      <c r="E39" s="10">
        <f t="shared" si="2"/>
        <v>8282.1827291390655</v>
      </c>
      <c r="F39" s="10">
        <f t="shared" si="3"/>
        <v>272678.57245026977</v>
      </c>
    </row>
    <row r="40" spans="1:6" x14ac:dyDescent="0.3">
      <c r="A40" s="12">
        <v>32</v>
      </c>
      <c r="B40" s="10">
        <f t="shared" si="4"/>
        <v>272678.57245026977</v>
      </c>
      <c r="C40" s="10">
        <f t="shared" si="0"/>
        <v>10623.522355634139</v>
      </c>
      <c r="D40" s="10">
        <f t="shared" si="1"/>
        <v>2272.3214370855812</v>
      </c>
      <c r="E40" s="10">
        <f t="shared" si="2"/>
        <v>8351.2009185485585</v>
      </c>
      <c r="F40" s="10">
        <f t="shared" si="3"/>
        <v>264327.3715317212</v>
      </c>
    </row>
    <row r="41" spans="1:6" x14ac:dyDescent="0.3">
      <c r="A41" s="12">
        <v>33</v>
      </c>
      <c r="B41" s="10">
        <f t="shared" si="4"/>
        <v>264327.3715317212</v>
      </c>
      <c r="C41" s="10">
        <f t="shared" si="0"/>
        <v>10623.522355634139</v>
      </c>
      <c r="D41" s="10">
        <f t="shared" si="1"/>
        <v>2202.7280960976768</v>
      </c>
      <c r="E41" s="10">
        <f t="shared" si="2"/>
        <v>8420.7942595364621</v>
      </c>
      <c r="F41" s="10">
        <f t="shared" si="3"/>
        <v>255906.57727218475</v>
      </c>
    </row>
    <row r="42" spans="1:6" x14ac:dyDescent="0.3">
      <c r="A42" s="12">
        <v>34</v>
      </c>
      <c r="B42" s="10">
        <f t="shared" si="4"/>
        <v>255906.57727218475</v>
      </c>
      <c r="C42" s="10">
        <f t="shared" si="0"/>
        <v>10623.522355634139</v>
      </c>
      <c r="D42" s="10">
        <f t="shared" si="1"/>
        <v>2132.5548106015394</v>
      </c>
      <c r="E42" s="10">
        <f t="shared" si="2"/>
        <v>8490.9675450325994</v>
      </c>
      <c r="F42" s="10">
        <f xml:space="preserve"> B42 - E42</f>
        <v>247415.60972715216</v>
      </c>
    </row>
    <row r="43" spans="1:6" x14ac:dyDescent="0.3">
      <c r="A43" s="12">
        <v>35</v>
      </c>
      <c r="B43" s="10">
        <f t="shared" si="4"/>
        <v>247415.60972715216</v>
      </c>
      <c r="C43" s="10">
        <f t="shared" si="0"/>
        <v>10623.522355634139</v>
      </c>
      <c r="D43" s="10">
        <f t="shared" si="1"/>
        <v>2061.7967477262678</v>
      </c>
      <c r="E43" s="10">
        <f t="shared" si="2"/>
        <v>8561.7256079078707</v>
      </c>
      <c r="F43" s="10">
        <f t="shared" si="3"/>
        <v>238853.88411924429</v>
      </c>
    </row>
    <row r="44" spans="1:6" x14ac:dyDescent="0.3">
      <c r="A44" s="12">
        <v>36</v>
      </c>
      <c r="B44" s="10">
        <f t="shared" si="4"/>
        <v>238853.88411924429</v>
      </c>
      <c r="C44" s="10">
        <f t="shared" si="0"/>
        <v>10623.522355634139</v>
      </c>
      <c r="D44" s="10">
        <f t="shared" si="1"/>
        <v>1990.4490343270356</v>
      </c>
      <c r="E44" s="10">
        <f t="shared" si="2"/>
        <v>8633.0733213071035</v>
      </c>
      <c r="F44" s="10">
        <f t="shared" si="3"/>
        <v>230220.81079793719</v>
      </c>
    </row>
    <row r="45" spans="1:6" x14ac:dyDescent="0.3">
      <c r="A45" s="12">
        <v>37</v>
      </c>
      <c r="B45" s="10">
        <f t="shared" si="4"/>
        <v>230220.81079793719</v>
      </c>
      <c r="C45" s="10">
        <f t="shared" si="0"/>
        <v>10623.522355634139</v>
      </c>
      <c r="D45" s="10">
        <f t="shared" si="1"/>
        <v>1918.5067566494765</v>
      </c>
      <c r="E45" s="10">
        <f t="shared" si="2"/>
        <v>8705.0155989846626</v>
      </c>
      <c r="F45" s="10">
        <f t="shared" si="3"/>
        <v>221515.79519895252</v>
      </c>
    </row>
    <row r="46" spans="1:6" x14ac:dyDescent="0.3">
      <c r="A46" s="12">
        <v>38</v>
      </c>
      <c r="B46" s="10">
        <f t="shared" si="4"/>
        <v>221515.79519895252</v>
      </c>
      <c r="C46" s="10">
        <f t="shared" si="0"/>
        <v>10623.522355634139</v>
      </c>
      <c r="D46" s="10">
        <f t="shared" si="1"/>
        <v>1845.9649599912709</v>
      </c>
      <c r="E46" s="10">
        <f t="shared" si="2"/>
        <v>8777.557395642867</v>
      </c>
      <c r="F46" s="10">
        <f t="shared" si="3"/>
        <v>212738.23780330966</v>
      </c>
    </row>
    <row r="47" spans="1:6" x14ac:dyDescent="0.3">
      <c r="A47" s="12">
        <v>39</v>
      </c>
      <c r="B47" s="10">
        <f t="shared" si="4"/>
        <v>212738.23780330966</v>
      </c>
      <c r="C47" s="10">
        <f t="shared" si="0"/>
        <v>10623.522355634139</v>
      </c>
      <c r="D47" s="10">
        <f t="shared" si="1"/>
        <v>1772.8186483609138</v>
      </c>
      <c r="E47" s="10">
        <f t="shared" si="2"/>
        <v>8850.7037072732255</v>
      </c>
      <c r="F47" s="10">
        <f t="shared" si="3"/>
        <v>203887.53409603643</v>
      </c>
    </row>
    <row r="48" spans="1:6" x14ac:dyDescent="0.3">
      <c r="A48" s="12">
        <v>40</v>
      </c>
      <c r="B48" s="10">
        <f t="shared" si="4"/>
        <v>203887.53409603643</v>
      </c>
      <c r="C48" s="10">
        <f t="shared" si="0"/>
        <v>10623.522355634139</v>
      </c>
      <c r="D48" s="10">
        <f t="shared" si="1"/>
        <v>1699.0627841336368</v>
      </c>
      <c r="E48" s="10">
        <f t="shared" si="2"/>
        <v>8924.4595715005016</v>
      </c>
      <c r="F48" s="10">
        <f t="shared" si="3"/>
        <v>194963.07452453591</v>
      </c>
    </row>
    <row r="49" spans="1:6" x14ac:dyDescent="0.3">
      <c r="A49" s="12">
        <v>41</v>
      </c>
      <c r="B49" s="10">
        <f t="shared" si="4"/>
        <v>194963.07452453591</v>
      </c>
      <c r="C49" s="10">
        <f t="shared" si="0"/>
        <v>10623.522355634139</v>
      </c>
      <c r="D49" s="10">
        <f t="shared" si="1"/>
        <v>1624.692287704466</v>
      </c>
      <c r="E49" s="10">
        <f t="shared" si="2"/>
        <v>8998.8300679296735</v>
      </c>
      <c r="F49" s="10">
        <f t="shared" si="3"/>
        <v>185964.24445660625</v>
      </c>
    </row>
    <row r="50" spans="1:6" x14ac:dyDescent="0.3">
      <c r="A50" s="12">
        <v>42</v>
      </c>
      <c r="B50" s="10">
        <f t="shared" si="4"/>
        <v>185964.24445660625</v>
      </c>
      <c r="C50" s="10">
        <f t="shared" si="0"/>
        <v>10623.522355634139</v>
      </c>
      <c r="D50" s="10">
        <f t="shared" si="1"/>
        <v>1549.7020371383853</v>
      </c>
      <c r="E50" s="10">
        <f t="shared" si="2"/>
        <v>9073.8203184957529</v>
      </c>
      <c r="F50" s="10">
        <f t="shared" si="3"/>
        <v>176890.42413811048</v>
      </c>
    </row>
    <row r="51" spans="1:6" x14ac:dyDescent="0.3">
      <c r="A51" s="12">
        <v>43</v>
      </c>
      <c r="B51" s="10">
        <f t="shared" si="4"/>
        <v>176890.42413811048</v>
      </c>
      <c r="C51" s="10">
        <f t="shared" si="0"/>
        <v>10623.522355634139</v>
      </c>
      <c r="D51" s="10">
        <f t="shared" si="1"/>
        <v>1474.0868678175873</v>
      </c>
      <c r="E51" s="10">
        <f t="shared" si="2"/>
        <v>9149.4354878165523</v>
      </c>
      <c r="F51" s="10">
        <f t="shared" si="3"/>
        <v>167740.98865029393</v>
      </c>
    </row>
    <row r="52" spans="1:6" x14ac:dyDescent="0.3">
      <c r="A52" s="12">
        <v>44</v>
      </c>
      <c r="B52" s="10">
        <f t="shared" si="4"/>
        <v>167740.98865029393</v>
      </c>
      <c r="C52" s="10">
        <f t="shared" si="0"/>
        <v>10623.522355634139</v>
      </c>
      <c r="D52" s="10">
        <f t="shared" si="1"/>
        <v>1397.8415720857827</v>
      </c>
      <c r="E52" s="10">
        <f t="shared" si="2"/>
        <v>9225.680783548356</v>
      </c>
      <c r="F52" s="10">
        <f t="shared" si="3"/>
        <v>158515.30786674557</v>
      </c>
    </row>
    <row r="53" spans="1:6" x14ac:dyDescent="0.3">
      <c r="A53" s="12">
        <v>45</v>
      </c>
      <c r="B53" s="10">
        <f t="shared" si="4"/>
        <v>158515.30786674557</v>
      </c>
      <c r="C53" s="10">
        <f t="shared" si="0"/>
        <v>10623.522355634139</v>
      </c>
      <c r="D53" s="10">
        <f t="shared" si="1"/>
        <v>1320.9608988895463</v>
      </c>
      <c r="E53" s="10">
        <f t="shared" si="2"/>
        <v>9302.5614567445919</v>
      </c>
      <c r="F53" s="10">
        <f t="shared" si="3"/>
        <v>149212.74641000098</v>
      </c>
    </row>
    <row r="54" spans="1:6" x14ac:dyDescent="0.3">
      <c r="A54" s="12">
        <v>46</v>
      </c>
      <c r="B54" s="10">
        <f t="shared" si="4"/>
        <v>149212.74641000098</v>
      </c>
      <c r="C54" s="10">
        <f t="shared" si="0"/>
        <v>10623.522355634139</v>
      </c>
      <c r="D54" s="10">
        <f t="shared" si="1"/>
        <v>1243.4395534166749</v>
      </c>
      <c r="E54" s="10">
        <f t="shared" si="2"/>
        <v>9380.0828022174646</v>
      </c>
      <c r="F54" s="10">
        <f t="shared" si="3"/>
        <v>139832.66360778353</v>
      </c>
    </row>
    <row r="55" spans="1:6" x14ac:dyDescent="0.3">
      <c r="A55" s="12">
        <v>47</v>
      </c>
      <c r="B55" s="10">
        <f t="shared" si="4"/>
        <v>139832.66360778353</v>
      </c>
      <c r="C55" s="10">
        <f t="shared" si="0"/>
        <v>10623.522355634139</v>
      </c>
      <c r="D55" s="10">
        <f t="shared" si="1"/>
        <v>1165.2721967315294</v>
      </c>
      <c r="E55" s="10">
        <f t="shared" si="2"/>
        <v>9458.2501589026087</v>
      </c>
      <c r="F55" s="10">
        <f t="shared" si="3"/>
        <v>130374.41344888092</v>
      </c>
    </row>
    <row r="56" spans="1:6" x14ac:dyDescent="0.3">
      <c r="A56" s="12">
        <v>48</v>
      </c>
      <c r="B56" s="10">
        <f t="shared" si="4"/>
        <v>130374.41344888092</v>
      </c>
      <c r="C56" s="10">
        <f t="shared" si="0"/>
        <v>10623.522355634139</v>
      </c>
      <c r="D56" s="10">
        <f t="shared" si="1"/>
        <v>1086.453445407341</v>
      </c>
      <c r="E56" s="10">
        <f t="shared" si="2"/>
        <v>9537.068910226797</v>
      </c>
      <c r="F56" s="10">
        <f t="shared" si="3"/>
        <v>120837.34453865413</v>
      </c>
    </row>
    <row r="57" spans="1:6" x14ac:dyDescent="0.3">
      <c r="A57" s="12">
        <v>49</v>
      </c>
      <c r="B57" s="10">
        <f t="shared" si="4"/>
        <v>120837.34453865413</v>
      </c>
      <c r="C57" s="10">
        <f t="shared" si="0"/>
        <v>10623.522355634139</v>
      </c>
      <c r="D57" s="10">
        <f t="shared" si="1"/>
        <v>1006.977871155451</v>
      </c>
      <c r="E57" s="10">
        <f t="shared" si="2"/>
        <v>9616.5444844786871</v>
      </c>
      <c r="F57" s="10">
        <f t="shared" si="3"/>
        <v>111220.80005417544</v>
      </c>
    </row>
    <row r="58" spans="1:6" x14ac:dyDescent="0.3">
      <c r="A58" s="12">
        <v>50</v>
      </c>
      <c r="B58" s="10">
        <f t="shared" si="4"/>
        <v>111220.80005417544</v>
      </c>
      <c r="C58" s="10">
        <f t="shared" si="0"/>
        <v>10623.522355634139</v>
      </c>
      <c r="D58" s="10">
        <f t="shared" si="1"/>
        <v>926.84000045146206</v>
      </c>
      <c r="E58" s="10">
        <f t="shared" si="2"/>
        <v>9696.6823551826765</v>
      </c>
      <c r="F58" s="10">
        <f t="shared" si="3"/>
        <v>101524.11769899276</v>
      </c>
    </row>
    <row r="59" spans="1:6" x14ac:dyDescent="0.3">
      <c r="A59" s="12">
        <v>51</v>
      </c>
      <c r="B59" s="10">
        <f t="shared" si="4"/>
        <v>101524.11769899276</v>
      </c>
      <c r="C59" s="10">
        <f t="shared" si="0"/>
        <v>10623.522355634139</v>
      </c>
      <c r="D59" s="10">
        <f t="shared" si="1"/>
        <v>846.03431415827299</v>
      </c>
      <c r="E59" s="10">
        <f t="shared" si="2"/>
        <v>9777.4880414758663</v>
      </c>
      <c r="F59" s="10">
        <f xml:space="preserve"> B59 - E59</f>
        <v>91746.629657516896</v>
      </c>
    </row>
    <row r="60" spans="1:6" x14ac:dyDescent="0.3">
      <c r="A60" s="12">
        <v>52</v>
      </c>
      <c r="B60" s="10">
        <f t="shared" si="4"/>
        <v>91746.629657516896</v>
      </c>
      <c r="C60" s="10">
        <f t="shared" si="0"/>
        <v>10623.522355634139</v>
      </c>
      <c r="D60" s="10">
        <f t="shared" si="1"/>
        <v>764.55524714597414</v>
      </c>
      <c r="E60" s="10">
        <f t="shared" si="2"/>
        <v>9858.9671084881647</v>
      </c>
      <c r="F60" s="10">
        <f t="shared" si="3"/>
        <v>81887.662549028726</v>
      </c>
    </row>
    <row r="61" spans="1:6" x14ac:dyDescent="0.3">
      <c r="A61" s="12">
        <v>53</v>
      </c>
      <c r="B61" s="10">
        <f t="shared" si="4"/>
        <v>81887.662549028726</v>
      </c>
      <c r="C61" s="10">
        <f t="shared" si="0"/>
        <v>10623.522355634139</v>
      </c>
      <c r="D61" s="10">
        <f t="shared" si="1"/>
        <v>682.39718790857273</v>
      </c>
      <c r="E61" s="10">
        <f t="shared" si="2"/>
        <v>9941.1251677255659</v>
      </c>
      <c r="F61" s="10">
        <f t="shared" si="3"/>
        <v>71946.537381303162</v>
      </c>
    </row>
    <row r="62" spans="1:6" x14ac:dyDescent="0.3">
      <c r="A62" s="12">
        <v>54</v>
      </c>
      <c r="B62" s="10">
        <f t="shared" si="4"/>
        <v>71946.537381303162</v>
      </c>
      <c r="C62" s="10">
        <f t="shared" si="0"/>
        <v>10623.522355634139</v>
      </c>
      <c r="D62" s="10">
        <f t="shared" si="1"/>
        <v>599.55447817752633</v>
      </c>
      <c r="E62" s="10">
        <f t="shared" si="2"/>
        <v>10023.967877456613</v>
      </c>
      <c r="F62" s="10">
        <f t="shared" si="3"/>
        <v>61922.569503846549</v>
      </c>
    </row>
    <row r="63" spans="1:6" x14ac:dyDescent="0.3">
      <c r="A63" s="12">
        <v>55</v>
      </c>
      <c r="B63" s="10">
        <f t="shared" si="4"/>
        <v>61922.569503846549</v>
      </c>
      <c r="C63" s="10">
        <f t="shared" si="0"/>
        <v>10623.522355634139</v>
      </c>
      <c r="D63" s="10">
        <f t="shared" si="1"/>
        <v>516.02141253205457</v>
      </c>
      <c r="E63" s="10">
        <f t="shared" si="2"/>
        <v>10107.500943102084</v>
      </c>
      <c r="F63" s="10">
        <f t="shared" si="3"/>
        <v>51815.068560744461</v>
      </c>
    </row>
    <row r="64" spans="1:6" x14ac:dyDescent="0.3">
      <c r="A64" s="12">
        <v>56</v>
      </c>
      <c r="B64" s="10">
        <f t="shared" si="4"/>
        <v>51815.068560744461</v>
      </c>
      <c r="C64" s="10">
        <f t="shared" si="0"/>
        <v>10623.522355634139</v>
      </c>
      <c r="D64" s="10">
        <f t="shared" si="1"/>
        <v>431.79223800620383</v>
      </c>
      <c r="E64" s="10">
        <f t="shared" si="2"/>
        <v>10191.730117627934</v>
      </c>
      <c r="F64" s="10">
        <f t="shared" si="3"/>
        <v>41623.338443116525</v>
      </c>
    </row>
    <row r="65" spans="1:6" x14ac:dyDescent="0.3">
      <c r="A65" s="12">
        <v>57</v>
      </c>
      <c r="B65" s="10">
        <f t="shared" si="4"/>
        <v>41623.338443116525</v>
      </c>
      <c r="C65" s="10">
        <f t="shared" si="0"/>
        <v>10623.522355634139</v>
      </c>
      <c r="D65" s="10">
        <f t="shared" si="1"/>
        <v>346.86115369263769</v>
      </c>
      <c r="E65" s="10">
        <f t="shared" si="2"/>
        <v>10276.661201941501</v>
      </c>
      <c r="F65" s="10">
        <f t="shared" si="3"/>
        <v>31346.677241175024</v>
      </c>
    </row>
    <row r="66" spans="1:6" x14ac:dyDescent="0.3">
      <c r="A66" s="12">
        <v>58</v>
      </c>
      <c r="B66" s="10">
        <f t="shared" si="4"/>
        <v>31346.677241175024</v>
      </c>
      <c r="C66" s="10">
        <f t="shared" si="0"/>
        <v>10623.522355634139</v>
      </c>
      <c r="D66" s="10">
        <f t="shared" si="1"/>
        <v>261.22231034312517</v>
      </c>
      <c r="E66" s="10">
        <f t="shared" si="2"/>
        <v>10362.300045291013</v>
      </c>
      <c r="F66" s="10">
        <f t="shared" si="3"/>
        <v>20984.377195884012</v>
      </c>
    </row>
    <row r="67" spans="1:6" x14ac:dyDescent="0.3">
      <c r="A67" s="12">
        <v>59</v>
      </c>
      <c r="B67" s="10">
        <f t="shared" si="4"/>
        <v>20984.377195884012</v>
      </c>
      <c r="C67" s="10">
        <f t="shared" si="0"/>
        <v>10623.522355634139</v>
      </c>
      <c r="D67" s="10">
        <f t="shared" si="1"/>
        <v>174.86980996570009</v>
      </c>
      <c r="E67" s="10">
        <f t="shared" si="2"/>
        <v>10448.652545668439</v>
      </c>
      <c r="F67" s="10">
        <f t="shared" si="3"/>
        <v>10535.724650215572</v>
      </c>
    </row>
    <row r="68" spans="1:6" x14ac:dyDescent="0.3">
      <c r="A68" s="12">
        <v>60</v>
      </c>
      <c r="B68" s="10">
        <f t="shared" si="4"/>
        <v>10535.724650215572</v>
      </c>
      <c r="C68" s="10">
        <f t="shared" si="0"/>
        <v>10623.522355634139</v>
      </c>
      <c r="D68" s="10">
        <f t="shared" si="1"/>
        <v>87.797705418463096</v>
      </c>
      <c r="E68" s="10">
        <f t="shared" si="2"/>
        <v>10535.724650215676</v>
      </c>
      <c r="F68" s="10">
        <f>MAX(B68 - E68,0)</f>
        <v>0</v>
      </c>
    </row>
    <row r="69" spans="1:6" x14ac:dyDescent="0.3">
      <c r="F69"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D1648-FBD0-4CD6-895B-72242FDED7F6}">
  <dimension ref="A1:Y54"/>
  <sheetViews>
    <sheetView showGridLines="0" tabSelected="1" topLeftCell="K37" zoomScale="95" zoomScaleNormal="85" workbookViewId="0">
      <selection activeCell="AB49" sqref="AB49"/>
    </sheetView>
  </sheetViews>
  <sheetFormatPr defaultRowHeight="14.4" x14ac:dyDescent="0.3"/>
  <cols>
    <col min="1" max="1" width="6.44140625" customWidth="1"/>
    <col min="2" max="2" width="20.77734375" customWidth="1"/>
    <col min="3" max="5" width="18.77734375" customWidth="1"/>
    <col min="6" max="7" width="13.21875" bestFit="1" customWidth="1"/>
    <col min="8" max="8" width="12.5546875" bestFit="1" customWidth="1"/>
    <col min="22" max="22" width="13.5546875" customWidth="1"/>
    <col min="23" max="23" width="12" bestFit="1" customWidth="1"/>
    <col min="24" max="24" width="14.44140625" bestFit="1" customWidth="1"/>
    <col min="25" max="25" width="13.77734375" bestFit="1" customWidth="1"/>
  </cols>
  <sheetData>
    <row r="1" spans="1:23" ht="14.4" customHeight="1" x14ac:dyDescent="0.3">
      <c r="A1" s="16" t="s">
        <v>39</v>
      </c>
      <c r="B1" s="15"/>
      <c r="C1" s="15"/>
      <c r="D1" s="15"/>
      <c r="E1" s="15"/>
      <c r="F1" s="15"/>
      <c r="G1" s="15"/>
      <c r="H1" s="15"/>
    </row>
    <row r="2" spans="1:23" x14ac:dyDescent="0.3">
      <c r="A2" s="15"/>
      <c r="B2" s="15"/>
      <c r="C2" s="15"/>
      <c r="D2" s="15"/>
      <c r="E2" s="15"/>
      <c r="F2" s="15"/>
      <c r="G2" s="15"/>
      <c r="H2" s="15"/>
    </row>
    <row r="3" spans="1:23" x14ac:dyDescent="0.3">
      <c r="A3" s="15"/>
      <c r="B3" s="15"/>
      <c r="C3" s="15"/>
      <c r="D3" s="15"/>
      <c r="E3" s="15"/>
      <c r="F3" s="15"/>
      <c r="G3" s="15"/>
      <c r="H3" s="15"/>
    </row>
    <row r="4" spans="1:23" x14ac:dyDescent="0.3">
      <c r="A4" s="15"/>
      <c r="B4" s="15"/>
      <c r="C4" s="15"/>
      <c r="D4" s="15"/>
      <c r="E4" s="15"/>
      <c r="F4" s="15"/>
      <c r="G4" s="15"/>
      <c r="H4" s="15"/>
    </row>
    <row r="5" spans="1:23" x14ac:dyDescent="0.3">
      <c r="A5" s="1"/>
      <c r="B5" s="4"/>
    </row>
    <row r="7" spans="1:23" x14ac:dyDescent="0.3">
      <c r="B7" s="17"/>
      <c r="C7" s="24"/>
      <c r="D7" s="26" t="s">
        <v>44</v>
      </c>
      <c r="E7" s="28"/>
      <c r="F7" s="27" t="s">
        <v>45</v>
      </c>
      <c r="G7" s="27"/>
      <c r="H7" s="28"/>
      <c r="V7" s="13" t="s">
        <v>40</v>
      </c>
      <c r="W7" s="9" t="s">
        <v>15</v>
      </c>
    </row>
    <row r="8" spans="1:23" x14ac:dyDescent="0.3">
      <c r="B8" s="17"/>
      <c r="C8" s="18"/>
      <c r="D8" s="20"/>
      <c r="E8" s="29"/>
      <c r="F8" s="20"/>
      <c r="G8" s="17"/>
      <c r="H8" s="29"/>
      <c r="V8" s="35">
        <v>0.08</v>
      </c>
      <c r="W8" s="8">
        <f>PMT(V8/12, INPUT!$B$4*12, -INPUT!$B$2)</f>
        <v>10138.197144206841</v>
      </c>
    </row>
    <row r="9" spans="1:23" x14ac:dyDescent="0.3">
      <c r="B9" s="17"/>
      <c r="C9" s="25"/>
      <c r="D9" s="20" t="s">
        <v>2</v>
      </c>
      <c r="E9" s="34">
        <f>INPUT!B2</f>
        <v>500000</v>
      </c>
      <c r="F9" s="17" t="s">
        <v>24</v>
      </c>
      <c r="G9" s="17"/>
      <c r="H9" s="30">
        <f>CALCULATIONS!B4</f>
        <v>10623.522355634139</v>
      </c>
      <c r="V9" s="35">
        <v>0.1</v>
      </c>
      <c r="W9" s="8">
        <f>PMT(V9/12, INPUT!$B$4*12, -INPUT!$B$2)</f>
        <v>10623.522355634139</v>
      </c>
    </row>
    <row r="10" spans="1:23" x14ac:dyDescent="0.3">
      <c r="D10" s="20" t="s">
        <v>40</v>
      </c>
      <c r="E10" s="21">
        <f>INPUT!B3</f>
        <v>0.1</v>
      </c>
      <c r="F10" s="17" t="s">
        <v>42</v>
      </c>
      <c r="G10" s="17"/>
      <c r="H10" s="31">
        <f>CALCULATIONS!I4</f>
        <v>137411.34133804819</v>
      </c>
      <c r="V10" s="35">
        <v>0.12</v>
      </c>
      <c r="W10" s="8">
        <f>PMT(V10/12, INPUT!$B$4*12, -INPUT!$B$2)</f>
        <v>11122.223842450885</v>
      </c>
    </row>
    <row r="11" spans="1:23" x14ac:dyDescent="0.3">
      <c r="D11" s="22" t="s">
        <v>41</v>
      </c>
      <c r="E11" s="23">
        <f>INPUT!B4</f>
        <v>5</v>
      </c>
      <c r="F11" s="19" t="s">
        <v>43</v>
      </c>
      <c r="G11" s="19"/>
      <c r="H11" s="32">
        <f>CALCULATIONS!I3</f>
        <v>637411.34133804834</v>
      </c>
      <c r="V11" s="35">
        <v>0.14000000000000001</v>
      </c>
      <c r="W11" s="8">
        <f>PMT(V11/12, INPUT!$B$4*12, -INPUT!$B$2)</f>
        <v>11634.125424693848</v>
      </c>
    </row>
    <row r="12" spans="1:23" x14ac:dyDescent="0.3">
      <c r="C12" s="8"/>
    </row>
    <row r="39" spans="22:25" x14ac:dyDescent="0.3">
      <c r="V39" s="4" t="s">
        <v>40</v>
      </c>
      <c r="W39" s="4" t="s">
        <v>15</v>
      </c>
      <c r="X39" s="4" t="s">
        <v>43</v>
      </c>
      <c r="Y39" s="4" t="s">
        <v>42</v>
      </c>
    </row>
    <row r="40" spans="22:25" x14ac:dyDescent="0.3">
      <c r="V40" s="35">
        <v>0.08</v>
      </c>
      <c r="W40" s="8">
        <f>PMT(V8/12, INPUT!$B$4*12, -INPUT!$B$2)</f>
        <v>10138.197144206841</v>
      </c>
      <c r="X40" s="8">
        <f>W40 * INPUT!$B$4 * 12</f>
        <v>608291.82865241042</v>
      </c>
      <c r="Y40" s="8">
        <f>X40 - INPUT!$B$2</f>
        <v>108291.82865241042</v>
      </c>
    </row>
    <row r="41" spans="22:25" x14ac:dyDescent="0.3">
      <c r="V41" s="35">
        <v>0.1</v>
      </c>
      <c r="W41" s="8">
        <f>PMT(V9/12, INPUT!$B$4*12, -INPUT!$B$2)</f>
        <v>10623.522355634139</v>
      </c>
      <c r="X41" s="8">
        <f>W41 * INPUT!$B$4 * 12</f>
        <v>637411.34133804834</v>
      </c>
      <c r="Y41" s="8">
        <f>X41 - INPUT!$B$2</f>
        <v>137411.34133804834</v>
      </c>
    </row>
    <row r="42" spans="22:25" x14ac:dyDescent="0.3">
      <c r="V42" s="35">
        <v>0.12</v>
      </c>
      <c r="W42" s="8">
        <f>PMT(V10/12, INPUT!$B$4*12, -INPUT!$B$2)</f>
        <v>11122.223842450885</v>
      </c>
      <c r="X42" s="8">
        <f>W42 * INPUT!$B$4 * 12</f>
        <v>667333.43054705311</v>
      </c>
      <c r="Y42" s="8">
        <f>X42 - INPUT!$B$2</f>
        <v>167333.43054705311</v>
      </c>
    </row>
    <row r="43" spans="22:25" x14ac:dyDescent="0.3">
      <c r="V43" s="35">
        <v>0.14000000000000001</v>
      </c>
      <c r="W43" s="8">
        <f>PMT(V11/12, INPUT!$B$4*12, -INPUT!$B$2)</f>
        <v>11634.125424693848</v>
      </c>
      <c r="X43" s="8">
        <f>W43 * INPUT!$B$4 * 12</f>
        <v>698047.52548163082</v>
      </c>
      <c r="Y43" s="8">
        <f>X43 - INPUT!$B$2</f>
        <v>198047.52548163082</v>
      </c>
    </row>
    <row r="53" spans="4:5" x14ac:dyDescent="0.3">
      <c r="D53" t="s">
        <v>19</v>
      </c>
      <c r="E53">
        <f>INPUT!B2</f>
        <v>500000</v>
      </c>
    </row>
    <row r="54" spans="4:5" x14ac:dyDescent="0.3">
      <c r="D54" t="s">
        <v>18</v>
      </c>
      <c r="E54" s="10">
        <f>CALCULATIONS!I4</f>
        <v>137411.34133804819</v>
      </c>
    </row>
  </sheetData>
  <mergeCells count="1">
    <mergeCell ref="A1:H4"/>
  </mergeCells>
  <dataValidations count="1">
    <dataValidation type="list" allowBlank="1" showInputMessage="1" showErrorMessage="1" sqref="A5" xr:uid="{15FE1EE0-6166-449A-A942-67F6594E54C8}">
      <formula1>"Data → Data Validation → List"</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Abhay Singh</dc:creator>
  <cp:lastModifiedBy>Abhay Singh</cp:lastModifiedBy>
  <dcterms:created xsi:type="dcterms:W3CDTF">2026-03-05T11:49:37Z</dcterms:created>
  <dcterms:modified xsi:type="dcterms:W3CDTF">2026-03-06T10:27:53Z</dcterms:modified>
</cp:coreProperties>
</file>